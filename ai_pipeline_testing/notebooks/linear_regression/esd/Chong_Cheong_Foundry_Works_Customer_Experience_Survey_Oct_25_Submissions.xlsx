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marianne/Documents/Term 7/01.400 Capstone/02 Initial Survey/"/>
    </mc:Choice>
  </mc:AlternateContent>
  <xr:revisionPtr revIDLastSave="0" documentId="13_ncr:1_{BF87B7DB-6851-1F43-B942-12CA65404892}" xr6:coauthVersionLast="47" xr6:coauthVersionMax="47" xr10:uidLastSave="{00000000-0000-0000-0000-000000000000}"/>
  <bookViews>
    <workbookView xWindow="12340" yWindow="820" windowWidth="16800" windowHeight="17440" xr2:uid="{CFDD2B65-7D32-6C42-AE99-173637EEF915}"/>
  </bookViews>
  <sheets>
    <sheet name="Chong_Cheong_Foundry_Works_Cust" sheetId="1" r:id="rId1"/>
    <sheet name="NPS" sheetId="10" r:id="rId2"/>
    <sheet name="score only" sheetId="2" r:id="rId3"/>
    <sheet name="fold 1 (0.295204777)" sheetId="3" r:id="rId4"/>
    <sheet name="fold 2 (0.285227579)" sheetId="4" r:id="rId5"/>
    <sheet name="fold 3 (0.158135953)" sheetId="5" r:id="rId6"/>
    <sheet name="fold 4 (0.353160791)" sheetId="6" r:id="rId7"/>
    <sheet name="fold 5 (0.428788401)" sheetId="7" r:id="rId8"/>
    <sheet name="fold 6 (0.1951758)" sheetId="8" r:id="rId9"/>
    <sheet name="fold 7 (0.460537945)" sheetId="9"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10" l="1"/>
  <c r="E6" i="10"/>
  <c r="E5" i="10"/>
  <c r="D5" i="10"/>
  <c r="D6" i="10"/>
  <c r="D4" i="10"/>
  <c r="G9" i="9"/>
  <c r="H9" i="9" s="1"/>
  <c r="G8" i="9"/>
  <c r="H8" i="9" s="1"/>
  <c r="G7" i="9"/>
  <c r="H7" i="9" s="1"/>
  <c r="G6" i="9"/>
  <c r="H6" i="9" s="1"/>
  <c r="G5" i="9"/>
  <c r="H5" i="9" s="1"/>
  <c r="G4" i="9"/>
  <c r="H4" i="9" s="1"/>
  <c r="G3" i="9"/>
  <c r="H3" i="9" s="1"/>
  <c r="G2" i="9"/>
  <c r="H2" i="9" s="1"/>
  <c r="K2" i="9" s="1"/>
  <c r="G10" i="8"/>
  <c r="H10" i="8" s="1"/>
  <c r="G9" i="8"/>
  <c r="H9" i="8" s="1"/>
  <c r="G8" i="8"/>
  <c r="H8" i="8" s="1"/>
  <c r="G7" i="8"/>
  <c r="H7" i="8" s="1"/>
  <c r="G6" i="8"/>
  <c r="H6" i="8" s="1"/>
  <c r="G5" i="8"/>
  <c r="H5" i="8" s="1"/>
  <c r="G4" i="8"/>
  <c r="H4" i="8" s="1"/>
  <c r="G3" i="8"/>
  <c r="H3" i="8" s="1"/>
  <c r="G2" i="8"/>
  <c r="H2" i="8" s="1"/>
  <c r="K2" i="8" s="1"/>
  <c r="G9" i="7"/>
  <c r="H9" i="7" s="1"/>
  <c r="G8" i="7"/>
  <c r="H8" i="7" s="1"/>
  <c r="G7" i="7"/>
  <c r="H7" i="7" s="1"/>
  <c r="G6" i="7"/>
  <c r="H6" i="7" s="1"/>
  <c r="G5" i="7"/>
  <c r="H5" i="7" s="1"/>
  <c r="G4" i="7"/>
  <c r="H4" i="7" s="1"/>
  <c r="G3" i="7"/>
  <c r="H3" i="7" s="1"/>
  <c r="G2" i="7"/>
  <c r="H2" i="7" s="1"/>
  <c r="G10" i="6"/>
  <c r="H10" i="6" s="1"/>
  <c r="G9" i="6"/>
  <c r="H9" i="6" s="1"/>
  <c r="G8" i="6"/>
  <c r="H8" i="6" s="1"/>
  <c r="G7" i="6"/>
  <c r="H7" i="6" s="1"/>
  <c r="G6" i="6"/>
  <c r="H6" i="6" s="1"/>
  <c r="G5" i="6"/>
  <c r="H5" i="6" s="1"/>
  <c r="G4" i="6"/>
  <c r="H4" i="6" s="1"/>
  <c r="G3" i="6"/>
  <c r="H3" i="6" s="1"/>
  <c r="G2" i="6"/>
  <c r="H2" i="6" s="1"/>
  <c r="G9" i="5"/>
  <c r="H9" i="5" s="1"/>
  <c r="G8" i="5"/>
  <c r="H8" i="5" s="1"/>
  <c r="G7" i="5"/>
  <c r="H7" i="5" s="1"/>
  <c r="G6" i="5"/>
  <c r="H6" i="5" s="1"/>
  <c r="G5" i="5"/>
  <c r="H5" i="5" s="1"/>
  <c r="G4" i="5"/>
  <c r="H4" i="5" s="1"/>
  <c r="G3" i="5"/>
  <c r="H3" i="5" s="1"/>
  <c r="G2" i="5"/>
  <c r="H2" i="5" s="1"/>
  <c r="G10" i="4"/>
  <c r="H10" i="4" s="1"/>
  <c r="G9" i="4"/>
  <c r="H9" i="4" s="1"/>
  <c r="G8" i="4"/>
  <c r="H8" i="4" s="1"/>
  <c r="G7" i="4"/>
  <c r="H7" i="4" s="1"/>
  <c r="G6" i="4"/>
  <c r="H6" i="4" s="1"/>
  <c r="G5" i="4"/>
  <c r="H5" i="4" s="1"/>
  <c r="G4" i="4"/>
  <c r="H4" i="4" s="1"/>
  <c r="G3" i="4"/>
  <c r="H3" i="4" s="1"/>
  <c r="G2" i="4"/>
  <c r="H2" i="4" s="1"/>
  <c r="G3" i="3"/>
  <c r="H3" i="3" s="1"/>
  <c r="G4" i="3"/>
  <c r="H4" i="3" s="1"/>
  <c r="G5" i="3"/>
  <c r="H5" i="3" s="1"/>
  <c r="G6" i="3"/>
  <c r="H6" i="3" s="1"/>
  <c r="G7" i="3"/>
  <c r="H7" i="3" s="1"/>
  <c r="G8" i="3"/>
  <c r="H8" i="3" s="1"/>
  <c r="G9" i="3"/>
  <c r="H9" i="3" s="1"/>
  <c r="G2" i="3"/>
  <c r="H2" i="3" s="1"/>
  <c r="K2" i="7" l="1"/>
  <c r="K2" i="6"/>
  <c r="K2" i="5"/>
  <c r="K2" i="4"/>
  <c r="K2" i="3"/>
</calcChain>
</file>

<file path=xl/sharedStrings.xml><?xml version="1.0" encoding="utf-8"?>
<sst xmlns="http://schemas.openxmlformats.org/spreadsheetml/2006/main" count="635" uniqueCount="291">
  <si>
    <t>Submission ID</t>
  </si>
  <si>
    <t>Respondent ID</t>
  </si>
  <si>
    <t>Submitted at</t>
  </si>
  <si>
    <t>Which organisation do you represent?</t>
  </si>
  <si>
    <t>Which best describes your current role?</t>
  </si>
  <si>
    <t>How satisfied are you with Chong Cheong Foundry Works' performance on Product?</t>
  </si>
  <si>
    <t>What aspects of Product did not meet your expectations?</t>
  </si>
  <si>
    <t>How satisfied are you with Chong Cheong Foundry Works' performance on Service?</t>
  </si>
  <si>
    <t>What aspects of Service did not meet your expectations?</t>
  </si>
  <si>
    <t>How satisfied are you with Chong Cheong Foundry Works' performance on Delivery?</t>
  </si>
  <si>
    <t>What aspects of Delivery did not meet your expectations?</t>
  </si>
  <si>
    <t>How satisfied are you with Chong Cheong Foundry Works' performance on Payment?</t>
  </si>
  <si>
    <t>What aspects of Payment did not meet your expectations?</t>
  </si>
  <si>
    <t>How satisfied are you with Chong Cheong Foundry Works' overall performance?</t>
  </si>
  <si>
    <t>Are there any other qualities that you look for in a service provider? How satisfied are you with Chong Cheong Foundry Works' performance on these qualities?</t>
  </si>
  <si>
    <t>On a scale of 0-10, how likely are you to recommend Chong Cheong Foundry Works to a friend, family member, or colleague?</t>
  </si>
  <si>
    <t>Do you have any other comments or suggestions for improvement?</t>
  </si>
  <si>
    <t>ODr58Aa</t>
  </si>
  <si>
    <t>lbBggKX</t>
  </si>
  <si>
    <t xml:space="preserve">PSP Solutions Engineering Pte Ltd </t>
  </si>
  <si>
    <t>Project engineer / manager</t>
  </si>
  <si>
    <t xml:space="preserve">good </t>
  </si>
  <si>
    <t>7Rj249Z</t>
  </si>
  <si>
    <t>b5qggz1</t>
  </si>
  <si>
    <t>PSP Solutions Engineering Pte Ltd</t>
  </si>
  <si>
    <t>rjgA2X2</t>
  </si>
  <si>
    <t>WO2QQyQ</t>
  </si>
  <si>
    <t>APP ENGINEERING PTE LTD</t>
  </si>
  <si>
    <t xml:space="preserve">Give some gift to site team's during  delivery time </t>
  </si>
  <si>
    <t>EkAQvdo</t>
  </si>
  <si>
    <t>MeXPgXl</t>
  </si>
  <si>
    <t xml:space="preserve">PSP SOLUTIONS ENGINEERING PTE LTD </t>
  </si>
  <si>
    <t>As for Chong Cheong Foundry Works, the satisfaction level with their performance on these qualities would depend on factors such as their timely delivery, quality of the castings or works provided, effective communication during the project, and their ability to meet project specifications and schedules. If they have consistently demonstrated reliability, good workmanship, and responsive customer service, then satisfaction would generally be high in these areas. If there are areas needing improvement, such as timeliness or communication, that could affect overall satisfaction.
If you would like, a more specific assessment or structured feedback response can be drafted based on particular experiences with Chong Cheong Foundry Works. Let me know if you want that.</t>
  </si>
  <si>
    <t>NA</t>
  </si>
  <si>
    <t>dWgxKYN</t>
  </si>
  <si>
    <t>RGx2gD4</t>
  </si>
  <si>
    <t>Pitney Engineering Pte Ltd</t>
  </si>
  <si>
    <t>Management</t>
  </si>
  <si>
    <t>jagQ5dJ</t>
  </si>
  <si>
    <t>2EXVZye</t>
  </si>
  <si>
    <t xml:space="preserve">Ivakaa </t>
  </si>
  <si>
    <t>No</t>
  </si>
  <si>
    <t>MePz6v8</t>
  </si>
  <si>
    <t>rj5gp7v</t>
  </si>
  <si>
    <t>DLE M&amp;E PTE LTD</t>
  </si>
  <si>
    <t>Cost engineer</t>
  </si>
  <si>
    <t>2EVNl1M</t>
  </si>
  <si>
    <t>b5qgDPo</t>
  </si>
  <si>
    <t>Triumph Plumbing &amp; Renovation Contractor Pte Ltd</t>
  </si>
  <si>
    <t>Purchaser</t>
  </si>
  <si>
    <t>Xx9W22V</t>
  </si>
  <si>
    <t>EkKAYvN</t>
  </si>
  <si>
    <t>C</t>
  </si>
  <si>
    <t>NpEWR9O</t>
  </si>
  <si>
    <t>VLGqyNa</t>
  </si>
  <si>
    <t>manager</t>
  </si>
  <si>
    <t>rjgAvj5</t>
  </si>
  <si>
    <t>xXrgB7k</t>
  </si>
  <si>
    <t>APP Engieering</t>
  </si>
  <si>
    <t xml:space="preserve">Delivering the material quickly can be improved.
</t>
  </si>
  <si>
    <t>6842MkY</t>
  </si>
  <si>
    <t>9qBx5eV</t>
  </si>
  <si>
    <t>Ivakaa engineering Pte Ltd</t>
  </si>
  <si>
    <t>KYOlkkM</t>
  </si>
  <si>
    <t>2EXVyEV</t>
  </si>
  <si>
    <t xml:space="preserve">App engineering pte ltd </t>
  </si>
  <si>
    <t xml:space="preserve">Need to improve QAQc </t>
  </si>
  <si>
    <t xml:space="preserve">No comment </t>
  </si>
  <si>
    <t>pb5BvZZ</t>
  </si>
  <si>
    <t>kdlg1bM</t>
  </si>
  <si>
    <t xml:space="preserve">AAL Engineering </t>
  </si>
  <si>
    <t xml:space="preserve">Share more infor about the product offer standard spec and liase with site directly </t>
  </si>
  <si>
    <t xml:space="preserve">Today order tomorrow delivery </t>
  </si>
  <si>
    <t xml:space="preserve">Can look for site person checking the specific time to be order correctly </t>
  </si>
  <si>
    <t>Delivery item can be faster</t>
  </si>
  <si>
    <t>A7aLyo0</t>
  </si>
  <si>
    <t>xXrg1QE</t>
  </si>
  <si>
    <t>Koon Seng Engineering &amp; Construction Pte Ltd</t>
  </si>
  <si>
    <t>Quantity Surveyor</t>
  </si>
  <si>
    <t xml:space="preserve">We are generally satisfied with Chong Cheong Foundry Works’ performance. The company has demonstrated consistent workmanship quality, timely delivery, and responsiveness throughout the project. </t>
  </si>
  <si>
    <t>0QG6kd6</t>
  </si>
  <si>
    <t>VLGqAV6</t>
  </si>
  <si>
    <t xml:space="preserve">PSP solutions </t>
  </si>
  <si>
    <t>Site supervisor</t>
  </si>
  <si>
    <t>LZVWgjJ</t>
  </si>
  <si>
    <t>eqMy8NE</t>
  </si>
  <si>
    <t>QS</t>
  </si>
  <si>
    <t>1AO75jg</t>
  </si>
  <si>
    <t>44QEY75</t>
  </si>
  <si>
    <t>A7aLGBk</t>
  </si>
  <si>
    <t>XxL97EY</t>
  </si>
  <si>
    <t>GREAT RESOURCES M&amp;E CONTRACTOR PTE LTD</t>
  </si>
  <si>
    <t>EkAQE9L</t>
  </si>
  <si>
    <t>ODarZqa</t>
  </si>
  <si>
    <t>King Wan</t>
  </si>
  <si>
    <t>812QgD5</t>
  </si>
  <si>
    <t>9qBx0WK</t>
  </si>
  <si>
    <t xml:space="preserve">Maginet Plumbing </t>
  </si>
  <si>
    <t xml:space="preserve">All item are good </t>
  </si>
  <si>
    <t>For returns, there is a 20% charge, can be improved to allow returns within one month without charge</t>
  </si>
  <si>
    <t>ODr5M9M</t>
  </si>
  <si>
    <t>jaZgVx4</t>
  </si>
  <si>
    <t>kdg62BM</t>
  </si>
  <si>
    <t>2EXVpLg</t>
  </si>
  <si>
    <t>King Wan Construction Pte Ltd</t>
  </si>
  <si>
    <t>RG25p1P</t>
  </si>
  <si>
    <t>obEgJk5</t>
  </si>
  <si>
    <t>Great Resouorces</t>
  </si>
  <si>
    <t>6842a5B</t>
  </si>
  <si>
    <t>D4BbQkE</t>
  </si>
  <si>
    <t xml:space="preserve">Seaever Engineering. </t>
  </si>
  <si>
    <t xml:space="preserve">If I get new project, i will submit CC brand material. </t>
  </si>
  <si>
    <t>ODrzlPY</t>
  </si>
  <si>
    <t>q4LpZ48</t>
  </si>
  <si>
    <t>APP ENGINEERING</t>
  </si>
  <si>
    <t>nil</t>
  </si>
  <si>
    <t>aQk64Vy</t>
  </si>
  <si>
    <t>44Qq4Rd</t>
  </si>
  <si>
    <t>CC</t>
  </si>
  <si>
    <t>rjgVDLv</t>
  </si>
  <si>
    <t>QK1Wqrp</t>
  </si>
  <si>
    <t>Great Resources M&amp;E Contractors Pte Ltd</t>
  </si>
  <si>
    <t>We expect timely delivery and proper logistics coordination, especially when materials are urgently required at site. At times, we’ve encountered delays due to stock unavailability even after receiving materials at the warehouse. This issue was recently observed during the LKG project, where some items are still pending delivery. We hope for improved coordination and faster turnaround in such situations.</t>
  </si>
  <si>
    <t>We suggest enhancing internal communication between the logistics and warehouse teams to ensure smoother and more reliable delivery scheduling. A proactive update system on material readiness and delivery timelines would help project teams plan more effectively and avoid site delays.</t>
  </si>
  <si>
    <t>EkAL15q</t>
  </si>
  <si>
    <t>2EXypvD</t>
  </si>
  <si>
    <t xml:space="preserve">Twinnotch Engineering and Construction Pte Ltd </t>
  </si>
  <si>
    <t>MePM420</t>
  </si>
  <si>
    <t>b5qJoBg</t>
  </si>
  <si>
    <t>Installer</t>
  </si>
  <si>
    <t>obgvqYV</t>
  </si>
  <si>
    <t>eqMXbyO</t>
  </si>
  <si>
    <t>Rotary IMC Pte Ltd</t>
  </si>
  <si>
    <t>gDgvE8N</t>
  </si>
  <si>
    <t>obEjJQV</t>
  </si>
  <si>
    <t>PEC PTE LTD</t>
  </si>
  <si>
    <t>Nil</t>
  </si>
  <si>
    <t>Room to improve on the quotation to be more specific on the delivery.</t>
  </si>
  <si>
    <t>44EzZob</t>
  </si>
  <si>
    <t>0QdWXQj</t>
  </si>
  <si>
    <t>Shingda Construction</t>
  </si>
  <si>
    <t xml:space="preserve">Very satisfied. </t>
  </si>
  <si>
    <t>rjgvzqv</t>
  </si>
  <si>
    <t>kdlPMrZ</t>
  </si>
  <si>
    <t xml:space="preserve">Missing mill cert when delivery received. </t>
  </si>
  <si>
    <t>LZVO9jv</t>
  </si>
  <si>
    <t>jaZRaO6</t>
  </si>
  <si>
    <t>PSP SOLUTIONS ENGINEERING PTE LTD</t>
  </si>
  <si>
    <t>b5gzrJe</t>
  </si>
  <si>
    <t>dWEM6Ao</t>
  </si>
  <si>
    <t>Stolthaven Singapore Pte Ltd</t>
  </si>
  <si>
    <t>Provide quotation quickly and arrange delivery the next day upon request.</t>
  </si>
  <si>
    <t>GxkbJbQ</t>
  </si>
  <si>
    <t>Pdpx6qV</t>
  </si>
  <si>
    <t>Ace Water Pte Ltd</t>
  </si>
  <si>
    <t>7RjEjb9</t>
  </si>
  <si>
    <t>XxLaBbO</t>
  </si>
  <si>
    <t>Skk Works Pte Ltd</t>
  </si>
  <si>
    <t>Na</t>
  </si>
  <si>
    <t>VLqNdZE</t>
  </si>
  <si>
    <t>pbrE05P</t>
  </si>
  <si>
    <t>KIM TECHNOLOGY &amp; SYSTEM ENGINEERING PTE LTD</t>
  </si>
  <si>
    <t>ODrEgbY</t>
  </si>
  <si>
    <t>zxj90B0</t>
  </si>
  <si>
    <t>Project Site</t>
  </si>
  <si>
    <t>GxkbyGj</t>
  </si>
  <si>
    <t>WO2Wl6R</t>
  </si>
  <si>
    <t>P &amp; E Technical Service Pte Ltd</t>
  </si>
  <si>
    <t>Limited/Low/No Stock Availability</t>
  </si>
  <si>
    <t xml:space="preserve">Unknown Upfront delivery information </t>
  </si>
  <si>
    <t xml:space="preserve">Insufficient product Information on website. </t>
  </si>
  <si>
    <t>Suggestions for improvement on Inventory/Logistic Management. Standard items should have inventory available at all time.</t>
  </si>
  <si>
    <t>vGgz9J4</t>
  </si>
  <si>
    <t>7RqAPbP</t>
  </si>
  <si>
    <t>SQO Dynamics Pte Ltd</t>
  </si>
  <si>
    <t>Bz6eNoN</t>
  </si>
  <si>
    <t>7RqA5XL</t>
  </si>
  <si>
    <t>CONSTRUCTION</t>
  </si>
  <si>
    <t xml:space="preserve">ALL OK </t>
  </si>
  <si>
    <t>NO COMMENTS</t>
  </si>
  <si>
    <t>NpEOoZb</t>
  </si>
  <si>
    <t>pbrE2Jq</t>
  </si>
  <si>
    <t>K&amp;J ENGINEERING PTE LTD</t>
  </si>
  <si>
    <t>A7aQEkW</t>
  </si>
  <si>
    <t>jaZjLbE</t>
  </si>
  <si>
    <t>Koon Seng Engineering and Construction PL</t>
  </si>
  <si>
    <t xml:space="preserve">Taking the effort to understand customers project requirements/company requirements. I would like to commend Jiawen for taking the effort to uds us as a company, the kind of project we do, the kinds of materials we need and also adapting to the way we operate and order material. I can tell that our team likes working with CC and Jia Wen. </t>
  </si>
  <si>
    <t xml:space="preserve">Please keep up the good work! 
Hope to be able to support one another in future! </t>
  </si>
  <si>
    <t>Pd4WEqx</t>
  </si>
  <si>
    <t>44QeAqY</t>
  </si>
  <si>
    <t>PROSERVV PTE LTD</t>
  </si>
  <si>
    <t>dWg4eyq</t>
  </si>
  <si>
    <t>0QdNWg6</t>
  </si>
  <si>
    <t>A N S Plumbing &amp; Sanitary Pte Ltd</t>
  </si>
  <si>
    <t>Looking for flexible Return policy</t>
  </si>
  <si>
    <t xml:space="preserve">1. Stock availability
2. Delivery schedule
</t>
  </si>
  <si>
    <t>zxgAj5g</t>
  </si>
  <si>
    <t>vGMQVaD</t>
  </si>
  <si>
    <t xml:space="preserve">Assure Engineering and Construction </t>
  </si>
  <si>
    <t>satisfied working with Ms. Katherin. She has been very responsive and provides timely assistance with effective solutions. We look forward to the same level of support and collaboration moving forward.</t>
  </si>
  <si>
    <t>812lDy5</t>
  </si>
  <si>
    <t>68eDLjO</t>
  </si>
  <si>
    <t xml:space="preserve">LK ENGINEERING PRIVATE LIMITED </t>
  </si>
  <si>
    <t>obgjPqX</t>
  </si>
  <si>
    <t>Zjo9OPy</t>
  </si>
  <si>
    <t>J.S.PLUMBING CONTRACTOR PTE LTD</t>
  </si>
  <si>
    <t>WOQW9Le</t>
  </si>
  <si>
    <t>obD9A8N</t>
  </si>
  <si>
    <t>Sanli M&amp;E Engineering Pte Ltd</t>
  </si>
  <si>
    <t xml:space="preserve">Basically they accommodate to our requirements.  </t>
  </si>
  <si>
    <t>No comments</t>
  </si>
  <si>
    <t>aQkLrR2</t>
  </si>
  <si>
    <t>pbdeZLV</t>
  </si>
  <si>
    <t>XULIN CONSTRUCTION AND ENGINEERING PTE LTD</t>
  </si>
  <si>
    <t>HR MANAGER</t>
  </si>
  <si>
    <t xml:space="preserve">Prompt reply on availability of products, timely delivery of products. Jiawen from Chong Cheong has been replying promptly. </t>
  </si>
  <si>
    <t>aQkRy6W</t>
  </si>
  <si>
    <t>68eLprY</t>
  </si>
  <si>
    <t xml:space="preserve">Eng Chin Hang Plumbing &amp; Sanitary Pte Ltd </t>
  </si>
  <si>
    <t>812XY0r</t>
  </si>
  <si>
    <t>44BQGl5</t>
  </si>
  <si>
    <t>YEW SENG HENG ENGINEERING PTE LTD</t>
  </si>
  <si>
    <t>Working with you has been a great experience. Your team is passionate, and we're delighted with the results we've seen. Your team's communication is always clear and transparent. This has been crucial in ensuring our projects run smoothly</t>
  </si>
  <si>
    <t>Thank you for being so flexible and adaptable to our changing business needs.</t>
  </si>
  <si>
    <t>KYO7bog</t>
  </si>
  <si>
    <t>PdDzdN5</t>
  </si>
  <si>
    <t xml:space="preserve">A'S M&amp;E PTE LTD </t>
  </si>
  <si>
    <t xml:space="preserve">Plumbing items better chong cheong keep stock </t>
  </si>
  <si>
    <t>44qX1JO</t>
  </si>
  <si>
    <t>KNJ Engineering pte ltd</t>
  </si>
  <si>
    <t xml:space="preserve">Nil </t>
  </si>
  <si>
    <t xml:space="preserve">Please keep it same </t>
  </si>
  <si>
    <t>gDpj1aK</t>
  </si>
  <si>
    <t>KYeVWZ7</t>
  </si>
  <si>
    <t>Jd Waters Pte Ltd</t>
  </si>
  <si>
    <t>7ReLxq2</t>
  </si>
  <si>
    <t>7RbWaEL</t>
  </si>
  <si>
    <t>Wang kok sewerage construction item ltd</t>
  </si>
  <si>
    <t xml:space="preserve">Excellent </t>
  </si>
  <si>
    <t>yPGzGE6</t>
  </si>
  <si>
    <t>zxN1O2R</t>
  </si>
  <si>
    <t xml:space="preserve">Construction </t>
  </si>
  <si>
    <t>keep it up</t>
  </si>
  <si>
    <t>Product</t>
  </si>
  <si>
    <t>Service</t>
  </si>
  <si>
    <t>Delivery</t>
  </si>
  <si>
    <t>Payment</t>
  </si>
  <si>
    <t>Overall</t>
  </si>
  <si>
    <t>Fold 1</t>
  </si>
  <si>
    <t>Fold 2</t>
  </si>
  <si>
    <t>Fold 3</t>
  </si>
  <si>
    <t>Fold 4</t>
  </si>
  <si>
    <t>Fold 5</t>
  </si>
  <si>
    <t>Fold 6</t>
  </si>
  <si>
    <t>Fold 7</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</si>
  <si>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</si>
  <si>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</si>
  <si>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</si>
  <si>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</si>
  <si>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</si>
  <si>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</si>
  <si>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</si>
  <si>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</si>
  <si>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</si>
  <si>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</si>
  <si>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</si>
  <si>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</si>
  <si>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</si>
  <si>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</si>
  <si>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</si>
  <si>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</si>
  <si>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</si>
  <si>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</si>
  <si>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</si>
  <si>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</si>
  <si>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</si>
  <si>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</si>
  <si>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</si>
  <si>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</si>
  <si>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</si>
  <si>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X Variable 2</t>
  </si>
  <si>
    <t>X Variable 3</t>
  </si>
  <si>
    <t>X Variable 4</t>
  </si>
  <si>
    <t>RMSE</t>
  </si>
  <si>
    <t>Y_hat</t>
  </si>
  <si>
    <t>SE</t>
  </si>
  <si>
    <t>Total responses</t>
  </si>
  <si>
    <t>0-6</t>
  </si>
  <si>
    <t>9-10</t>
  </si>
  <si>
    <t>Percentage</t>
  </si>
  <si>
    <t>NPS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</si>
</sst>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i/>
      <sz val="12"/>
      <color theme="1"/>
      <name val="Aptos Narrow"/>
      <family val="2"/>
      <scheme val="minor"/>
    </font>
    <font>
      <sz val="12"/>
      <color rgb="FF00000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9"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22" fontId="0" fillId="0" borderId="0" xfId="0" applyNumberFormat="1"/>
    <xf numFmtId="0" fontId="0" fillId="0" borderId="0" xfId="0" applyAlignment="1">
      <alignment wrapText="1"/>
    </xf>
    <xf numFmtId="0" fontId="0" fillId="33" borderId="0" xfId="0" applyFill="1"/>
    <xf numFmtId="0" fontId="0" fillId="34" borderId="0" xfId="0" applyFill="1"/>
    <xf numFmtId="0" fontId="0" fillId="0" borderId="0" xfId="0" applyAlignment="1">
      <alignment vertical="center"/>
    </xf>
    <xf numFmtId="0" fontId="0" fillId="0" borderId="10" xfId="0" applyBorder="1"/>
    <xf numFmtId="0" fontId="18" fillId="0" borderId="11" xfId="0" applyFont="1" applyBorder="1" applyAlignment="1">
      <alignment horizontal="center"/>
    </xf>
    <xf numFmtId="0" fontId="18" fillId="0" borderId="11" xfId="0" applyFont="1" applyBorder="1" applyAlignment="1">
      <alignment horizontal="centerContinuous"/>
    </xf>
    <xf numFmtId="0" fontId="19" fillId="0" borderId="0" xfId="0" applyFont="1"/>
    <xf numFmtId="16" fontId="0" fillId="0" borderId="0" xfId="0" quotePrefix="1" applyNumberFormat="1"/>
    <xf numFmtId="0" fontId="0" fillId="0" borderId="0" xfId="0" quotePrefix="1"/>
    <xf numFmtId="164" fontId="0" fillId="0" borderId="0" xfId="42" applyNumberFormat="1" applyFont="1"/>
    <xf numFmtId="165" fontId="0" fillId="0" borderId="0" xfId="42" applyNumberFormat="1" applyFont="1"/>
    <xf numFmtId="164" fontId="0" fillId="0" borderId="0" xfId="0" applyNumberFormat="1"/>
    <xf numFmtId="22" fontId="0" fillId="33" borderId="0" xfId="0" applyNumberFormat="1" applyFill="1"/>
    <xf numFmtId="0" fontId="0" fillId="33" borderId="0" xfId="0" applyFill="1" applyAlignment="1">
      <alignment wrapText="1"/>
    </xf>
    <xf numFmtId="0" fontId="0" fillId="0" borderId="0" xfId="0"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89210-8A59-324B-A0A8-DB2DAE0B07DF}">
  <dimension ref="A1:Q60"/>
  <sheetViews>
    <sheetView tabSelected="1" workbookViewId="0">
      <pane xSplit="1" topLeftCell="B1" activePane="topRight" state="frozen"/>
      <selection pane="topRight" activeCell="D3" sqref="D3"/>
    </sheetView>
  </sheetViews>
  <sheetFormatPr baseColWidth="10" defaultRowHeight="16" x14ac:dyDescent="0.2"/>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t="s">
        <v>17</v>
      </c>
      <c r="B2" t="s">
        <v>18</v>
      </c>
      <c r="C2" s="1">
        <v>45954.223009259258</v>
      </c>
      <c r="D2" t="s">
        <v>19</v>
      </c>
      <c r="E2" t="s">
        <v>20</v>
      </c>
      <c r="F2">
        <v>5</v>
      </c>
      <c r="H2">
        <v>5</v>
      </c>
      <c r="J2">
        <v>5</v>
      </c>
      <c r="L2">
        <v>5</v>
      </c>
      <c r="N2">
        <v>5</v>
      </c>
      <c r="O2" t="s">
        <v>21</v>
      </c>
      <c r="P2">
        <v>10</v>
      </c>
    </row>
    <row r="3" spans="1:17" x14ac:dyDescent="0.2">
      <c r="A3" t="s">
        <v>22</v>
      </c>
      <c r="B3" t="s">
        <v>23</v>
      </c>
      <c r="C3" s="1">
        <v>45954.224004629628</v>
      </c>
      <c r="D3" t="s">
        <v>24</v>
      </c>
      <c r="E3" t="s">
        <v>20</v>
      </c>
      <c r="F3">
        <v>5</v>
      </c>
      <c r="H3">
        <v>5</v>
      </c>
      <c r="J3">
        <v>5</v>
      </c>
      <c r="L3">
        <v>5</v>
      </c>
      <c r="N3">
        <v>5</v>
      </c>
      <c r="P3">
        <v>10</v>
      </c>
    </row>
    <row r="4" spans="1:17" s="3" customFormat="1" x14ac:dyDescent="0.2">
      <c r="A4" s="3" t="s">
        <v>25</v>
      </c>
      <c r="B4" s="3" t="s">
        <v>26</v>
      </c>
      <c r="C4" s="15">
        <v>45954.227303240739</v>
      </c>
      <c r="D4" s="3" t="s">
        <v>27</v>
      </c>
      <c r="E4" s="3" t="s">
        <v>20</v>
      </c>
      <c r="F4" s="3">
        <v>5</v>
      </c>
      <c r="H4" s="3">
        <v>5</v>
      </c>
      <c r="J4" s="3">
        <v>5</v>
      </c>
      <c r="L4" s="3">
        <v>5</v>
      </c>
      <c r="N4" s="3">
        <v>5</v>
      </c>
      <c r="P4" s="3">
        <v>10</v>
      </c>
      <c r="Q4" s="3" t="s">
        <v>28</v>
      </c>
    </row>
    <row r="5" spans="1:17" ht="409.5" x14ac:dyDescent="0.2">
      <c r="A5" t="s">
        <v>29</v>
      </c>
      <c r="B5" t="s">
        <v>30</v>
      </c>
      <c r="C5" s="1">
        <v>45954.228703703702</v>
      </c>
      <c r="D5" t="s">
        <v>31</v>
      </c>
      <c r="E5" t="s">
        <v>20</v>
      </c>
      <c r="F5">
        <v>5</v>
      </c>
      <c r="H5">
        <v>5</v>
      </c>
      <c r="J5">
        <v>5</v>
      </c>
      <c r="L5">
        <v>5</v>
      </c>
      <c r="N5">
        <v>5</v>
      </c>
      <c r="O5" s="2" t="s">
        <v>32</v>
      </c>
      <c r="P5">
        <v>9</v>
      </c>
      <c r="Q5" t="s">
        <v>33</v>
      </c>
    </row>
    <row r="6" spans="1:17" x14ac:dyDescent="0.2">
      <c r="A6" t="s">
        <v>34</v>
      </c>
      <c r="B6" t="s">
        <v>35</v>
      </c>
      <c r="C6" s="1">
        <v>45954.229398148149</v>
      </c>
      <c r="D6" t="s">
        <v>36</v>
      </c>
      <c r="E6" t="s">
        <v>37</v>
      </c>
      <c r="F6">
        <v>5</v>
      </c>
      <c r="H6">
        <v>5</v>
      </c>
      <c r="J6">
        <v>4</v>
      </c>
      <c r="L6">
        <v>5</v>
      </c>
      <c r="N6">
        <v>4</v>
      </c>
      <c r="P6">
        <v>9</v>
      </c>
    </row>
    <row r="7" spans="1:17" x14ac:dyDescent="0.2">
      <c r="A7" t="s">
        <v>38</v>
      </c>
      <c r="B7" t="s">
        <v>39</v>
      </c>
      <c r="C7" s="1">
        <v>45954.23364583333</v>
      </c>
      <c r="D7" t="s">
        <v>40</v>
      </c>
      <c r="E7" t="s">
        <v>20</v>
      </c>
      <c r="F7">
        <v>5</v>
      </c>
      <c r="H7">
        <v>5</v>
      </c>
      <c r="J7">
        <v>5</v>
      </c>
      <c r="L7">
        <v>5</v>
      </c>
      <c r="N7">
        <v>5</v>
      </c>
      <c r="P7">
        <v>10</v>
      </c>
      <c r="Q7" t="s">
        <v>41</v>
      </c>
    </row>
    <row r="8" spans="1:17" x14ac:dyDescent="0.2">
      <c r="A8" t="s">
        <v>42</v>
      </c>
      <c r="B8" t="s">
        <v>43</v>
      </c>
      <c r="C8" s="1">
        <v>45954.235613425924</v>
      </c>
      <c r="D8" t="s">
        <v>44</v>
      </c>
      <c r="E8" t="s">
        <v>45</v>
      </c>
      <c r="F8">
        <v>5</v>
      </c>
      <c r="H8">
        <v>5</v>
      </c>
      <c r="J8">
        <v>5</v>
      </c>
      <c r="L8">
        <v>5</v>
      </c>
      <c r="N8">
        <v>5</v>
      </c>
      <c r="P8">
        <v>9</v>
      </c>
    </row>
    <row r="9" spans="1:17" x14ac:dyDescent="0.2">
      <c r="A9" t="s">
        <v>46</v>
      </c>
      <c r="B9" t="s">
        <v>47</v>
      </c>
      <c r="C9" s="1">
        <v>45954.235659722224</v>
      </c>
      <c r="D9" t="s">
        <v>48</v>
      </c>
      <c r="E9" t="s">
        <v>49</v>
      </c>
      <c r="F9">
        <v>4</v>
      </c>
      <c r="H9">
        <v>5</v>
      </c>
      <c r="J9">
        <v>4</v>
      </c>
      <c r="L9">
        <v>5</v>
      </c>
      <c r="N9">
        <v>5</v>
      </c>
      <c r="P9">
        <v>8</v>
      </c>
    </row>
    <row r="10" spans="1:17" x14ac:dyDescent="0.2">
      <c r="A10" t="s">
        <v>50</v>
      </c>
      <c r="B10" t="s">
        <v>51</v>
      </c>
      <c r="C10" s="1">
        <v>45954.240081018521</v>
      </c>
      <c r="D10" t="s">
        <v>52</v>
      </c>
      <c r="E10" t="s">
        <v>49</v>
      </c>
      <c r="F10">
        <v>4</v>
      </c>
      <c r="H10">
        <v>4</v>
      </c>
      <c r="J10">
        <v>3</v>
      </c>
      <c r="L10">
        <v>4</v>
      </c>
      <c r="N10">
        <v>4</v>
      </c>
      <c r="O10" t="s">
        <v>33</v>
      </c>
      <c r="P10">
        <v>7</v>
      </c>
      <c r="Q10" t="s">
        <v>33</v>
      </c>
    </row>
    <row r="11" spans="1:17" x14ac:dyDescent="0.2">
      <c r="A11" t="s">
        <v>53</v>
      </c>
      <c r="B11" t="s">
        <v>54</v>
      </c>
      <c r="C11" s="1">
        <v>45954.24077546296</v>
      </c>
      <c r="D11" t="s">
        <v>55</v>
      </c>
      <c r="E11" t="s">
        <v>49</v>
      </c>
      <c r="F11">
        <v>5</v>
      </c>
      <c r="H11">
        <v>5</v>
      </c>
      <c r="J11">
        <v>5</v>
      </c>
      <c r="L11">
        <v>5</v>
      </c>
      <c r="N11">
        <v>5</v>
      </c>
      <c r="P11">
        <v>10</v>
      </c>
    </row>
    <row r="12" spans="1:17" s="3" customFormat="1" ht="119" x14ac:dyDescent="0.2">
      <c r="A12" s="3" t="s">
        <v>56</v>
      </c>
      <c r="B12" s="3" t="s">
        <v>57</v>
      </c>
      <c r="C12" s="15">
        <v>45954.242152777777</v>
      </c>
      <c r="D12" s="3" t="s">
        <v>58</v>
      </c>
      <c r="E12" s="3" t="s">
        <v>20</v>
      </c>
      <c r="F12" s="3">
        <v>5</v>
      </c>
      <c r="H12" s="3">
        <v>5</v>
      </c>
      <c r="J12" s="3">
        <v>4</v>
      </c>
      <c r="L12" s="3">
        <v>5</v>
      </c>
      <c r="N12" s="3">
        <v>4</v>
      </c>
      <c r="O12" s="16" t="s">
        <v>59</v>
      </c>
      <c r="P12" s="3">
        <v>9</v>
      </c>
    </row>
    <row r="13" spans="1:17" x14ac:dyDescent="0.2">
      <c r="A13" t="s">
        <v>60</v>
      </c>
      <c r="B13" t="s">
        <v>61</v>
      </c>
      <c r="C13" s="1">
        <v>45954.243252314816</v>
      </c>
      <c r="D13" t="s">
        <v>62</v>
      </c>
      <c r="E13" t="s">
        <v>49</v>
      </c>
      <c r="F13">
        <v>5</v>
      </c>
      <c r="H13">
        <v>5</v>
      </c>
      <c r="J13">
        <v>5</v>
      </c>
      <c r="L13">
        <v>4</v>
      </c>
      <c r="N13">
        <v>5</v>
      </c>
      <c r="P13">
        <v>9</v>
      </c>
    </row>
    <row r="14" spans="1:17" s="3" customFormat="1" x14ac:dyDescent="0.2">
      <c r="A14" s="3" t="s">
        <v>63</v>
      </c>
      <c r="B14" s="3" t="s">
        <v>64</v>
      </c>
      <c r="C14" s="15">
        <v>45954.244305555556</v>
      </c>
      <c r="D14" s="3" t="s">
        <v>65</v>
      </c>
      <c r="E14" s="3" t="s">
        <v>20</v>
      </c>
      <c r="F14" s="3">
        <v>5</v>
      </c>
      <c r="H14" s="3">
        <v>5</v>
      </c>
      <c r="J14" s="3">
        <v>5</v>
      </c>
      <c r="L14" s="3">
        <v>5</v>
      </c>
      <c r="N14" s="3">
        <v>5</v>
      </c>
      <c r="O14" s="3" t="s">
        <v>66</v>
      </c>
      <c r="P14" s="3">
        <v>10</v>
      </c>
      <c r="Q14" s="3" t="s">
        <v>67</v>
      </c>
    </row>
    <row r="15" spans="1:17" s="3" customFormat="1" x14ac:dyDescent="0.2">
      <c r="A15" s="3" t="s">
        <v>68</v>
      </c>
      <c r="B15" s="3" t="s">
        <v>69</v>
      </c>
      <c r="C15" s="15">
        <v>45954.244525462964</v>
      </c>
      <c r="D15" s="3" t="s">
        <v>70</v>
      </c>
      <c r="E15" s="3" t="s">
        <v>49</v>
      </c>
      <c r="F15" s="3">
        <v>4</v>
      </c>
      <c r="H15" s="3">
        <v>2</v>
      </c>
      <c r="I15" s="3" t="s">
        <v>71</v>
      </c>
      <c r="J15" s="3">
        <v>2</v>
      </c>
      <c r="K15" s="3" t="s">
        <v>72</v>
      </c>
      <c r="L15" s="3">
        <v>4</v>
      </c>
      <c r="N15" s="3">
        <v>3</v>
      </c>
      <c r="O15" s="3" t="s">
        <v>73</v>
      </c>
      <c r="P15" s="3">
        <v>5</v>
      </c>
      <c r="Q15" s="3" t="s">
        <v>74</v>
      </c>
    </row>
    <row r="16" spans="1:17" s="3" customFormat="1" x14ac:dyDescent="0.2">
      <c r="A16" s="3" t="s">
        <v>75</v>
      </c>
      <c r="B16" s="3" t="s">
        <v>76</v>
      </c>
      <c r="C16" s="15">
        <v>45954.246249999997</v>
      </c>
      <c r="D16" s="3" t="s">
        <v>77</v>
      </c>
      <c r="E16" s="3" t="s">
        <v>78</v>
      </c>
      <c r="F16" s="3">
        <v>4</v>
      </c>
      <c r="H16" s="3">
        <v>4</v>
      </c>
      <c r="J16" s="3">
        <v>4</v>
      </c>
      <c r="L16" s="3">
        <v>3</v>
      </c>
      <c r="N16" s="3">
        <v>4</v>
      </c>
      <c r="O16" s="3" t="s">
        <v>79</v>
      </c>
      <c r="P16" s="3">
        <v>9</v>
      </c>
    </row>
    <row r="17" spans="1:17" x14ac:dyDescent="0.2">
      <c r="A17" t="s">
        <v>80</v>
      </c>
      <c r="B17" t="s">
        <v>81</v>
      </c>
      <c r="C17" s="1">
        <v>45954.246562499997</v>
      </c>
      <c r="D17" t="s">
        <v>82</v>
      </c>
      <c r="E17" t="s">
        <v>83</v>
      </c>
      <c r="F17">
        <v>5</v>
      </c>
      <c r="H17">
        <v>5</v>
      </c>
      <c r="J17">
        <v>5</v>
      </c>
      <c r="L17">
        <v>5</v>
      </c>
      <c r="N17">
        <v>5</v>
      </c>
      <c r="P17">
        <v>10</v>
      </c>
    </row>
    <row r="18" spans="1:17" x14ac:dyDescent="0.2">
      <c r="A18" t="s">
        <v>84</v>
      </c>
      <c r="B18" t="s">
        <v>85</v>
      </c>
      <c r="C18" s="1">
        <v>45954.261655092596</v>
      </c>
      <c r="D18" t="s">
        <v>24</v>
      </c>
      <c r="E18" t="s">
        <v>86</v>
      </c>
      <c r="F18">
        <v>5</v>
      </c>
      <c r="H18">
        <v>5</v>
      </c>
      <c r="J18">
        <v>5</v>
      </c>
      <c r="L18">
        <v>5</v>
      </c>
      <c r="N18">
        <v>5</v>
      </c>
      <c r="P18">
        <v>10</v>
      </c>
    </row>
    <row r="19" spans="1:17" x14ac:dyDescent="0.2">
      <c r="A19" t="s">
        <v>87</v>
      </c>
      <c r="B19" t="s">
        <v>88</v>
      </c>
      <c r="C19" s="1">
        <v>45954.265821759262</v>
      </c>
      <c r="D19" t="s">
        <v>24</v>
      </c>
      <c r="E19" t="s">
        <v>37</v>
      </c>
      <c r="F19">
        <v>5</v>
      </c>
      <c r="H19">
        <v>4</v>
      </c>
      <c r="J19">
        <v>4</v>
      </c>
      <c r="L19">
        <v>4</v>
      </c>
      <c r="N19">
        <v>4</v>
      </c>
      <c r="P19">
        <v>9</v>
      </c>
    </row>
    <row r="20" spans="1:17" x14ac:dyDescent="0.2">
      <c r="A20" t="s">
        <v>89</v>
      </c>
      <c r="B20" t="s">
        <v>90</v>
      </c>
      <c r="C20" s="1">
        <v>45954.266828703701</v>
      </c>
      <c r="D20" t="s">
        <v>91</v>
      </c>
      <c r="E20" t="s">
        <v>49</v>
      </c>
      <c r="F20">
        <v>5</v>
      </c>
      <c r="H20">
        <v>5</v>
      </c>
      <c r="J20">
        <v>5</v>
      </c>
      <c r="L20">
        <v>5</v>
      </c>
      <c r="N20">
        <v>5</v>
      </c>
      <c r="P20">
        <v>10</v>
      </c>
    </row>
    <row r="21" spans="1:17" x14ac:dyDescent="0.2">
      <c r="A21" t="s">
        <v>92</v>
      </c>
      <c r="B21" t="s">
        <v>93</v>
      </c>
      <c r="C21" s="1">
        <v>45954.269502314812</v>
      </c>
      <c r="D21" t="s">
        <v>94</v>
      </c>
      <c r="E21" t="s">
        <v>20</v>
      </c>
      <c r="F21">
        <v>4</v>
      </c>
      <c r="H21">
        <v>3</v>
      </c>
      <c r="J21">
        <v>3</v>
      </c>
      <c r="L21">
        <v>3</v>
      </c>
      <c r="N21">
        <v>3</v>
      </c>
      <c r="P21">
        <v>7</v>
      </c>
    </row>
    <row r="22" spans="1:17" s="3" customFormat="1" x14ac:dyDescent="0.2">
      <c r="A22" s="3" t="s">
        <v>95</v>
      </c>
      <c r="B22" s="3" t="s">
        <v>96</v>
      </c>
      <c r="C22" s="15">
        <v>45954.272453703707</v>
      </c>
      <c r="D22" s="3" t="s">
        <v>97</v>
      </c>
      <c r="E22" s="3" t="s">
        <v>49</v>
      </c>
      <c r="F22" s="3">
        <v>5</v>
      </c>
      <c r="H22" s="3">
        <v>5</v>
      </c>
      <c r="J22" s="3">
        <v>5</v>
      </c>
      <c r="L22" s="3">
        <v>5</v>
      </c>
      <c r="N22" s="3">
        <v>5</v>
      </c>
      <c r="O22" s="3" t="s">
        <v>98</v>
      </c>
      <c r="P22" s="3">
        <v>10</v>
      </c>
      <c r="Q22" s="3" t="s">
        <v>99</v>
      </c>
    </row>
    <row r="23" spans="1:17" x14ac:dyDescent="0.2">
      <c r="A23" t="s">
        <v>100</v>
      </c>
      <c r="B23" t="s">
        <v>101</v>
      </c>
      <c r="C23" s="1">
        <v>45954.290324074071</v>
      </c>
      <c r="D23" t="s">
        <v>24</v>
      </c>
      <c r="E23" t="s">
        <v>37</v>
      </c>
      <c r="F23">
        <v>4</v>
      </c>
      <c r="H23">
        <v>4</v>
      </c>
      <c r="J23">
        <v>4</v>
      </c>
      <c r="L23">
        <v>4</v>
      </c>
      <c r="N23">
        <v>4</v>
      </c>
      <c r="O23" t="s">
        <v>33</v>
      </c>
      <c r="P23">
        <v>8</v>
      </c>
      <c r="Q23" t="s">
        <v>33</v>
      </c>
    </row>
    <row r="24" spans="1:17" x14ac:dyDescent="0.2">
      <c r="A24" t="s">
        <v>102</v>
      </c>
      <c r="B24" t="s">
        <v>103</v>
      </c>
      <c r="C24" s="1">
        <v>45954.30096064815</v>
      </c>
      <c r="D24" t="s">
        <v>104</v>
      </c>
      <c r="E24" t="s">
        <v>49</v>
      </c>
      <c r="F24">
        <v>4</v>
      </c>
      <c r="H24">
        <v>4</v>
      </c>
      <c r="J24">
        <v>4</v>
      </c>
      <c r="L24">
        <v>4</v>
      </c>
      <c r="N24">
        <v>4</v>
      </c>
      <c r="P24">
        <v>9</v>
      </c>
    </row>
    <row r="25" spans="1:17" x14ac:dyDescent="0.2">
      <c r="A25" t="s">
        <v>105</v>
      </c>
      <c r="B25" t="s">
        <v>106</v>
      </c>
      <c r="C25" s="1">
        <v>45954.307696759257</v>
      </c>
      <c r="D25" t="s">
        <v>107</v>
      </c>
      <c r="E25" t="s">
        <v>20</v>
      </c>
      <c r="F25">
        <v>5</v>
      </c>
      <c r="H25">
        <v>5</v>
      </c>
      <c r="J25">
        <v>5</v>
      </c>
      <c r="L25">
        <v>5</v>
      </c>
      <c r="N25">
        <v>5</v>
      </c>
      <c r="P25">
        <v>10</v>
      </c>
    </row>
    <row r="26" spans="1:17" s="3" customFormat="1" x14ac:dyDescent="0.2">
      <c r="A26" s="3" t="s">
        <v>108</v>
      </c>
      <c r="B26" s="3" t="s">
        <v>109</v>
      </c>
      <c r="C26" s="15">
        <v>45954.311030092591</v>
      </c>
      <c r="D26" s="3" t="s">
        <v>110</v>
      </c>
      <c r="E26" s="3" t="s">
        <v>20</v>
      </c>
      <c r="F26" s="3">
        <v>5</v>
      </c>
      <c r="H26" s="3">
        <v>5</v>
      </c>
      <c r="J26" s="3">
        <v>5</v>
      </c>
      <c r="L26" s="3">
        <v>5</v>
      </c>
      <c r="N26" s="3">
        <v>5</v>
      </c>
      <c r="O26" s="3" t="s">
        <v>111</v>
      </c>
      <c r="P26" s="3">
        <v>10</v>
      </c>
    </row>
    <row r="27" spans="1:17" x14ac:dyDescent="0.2">
      <c r="A27" t="s">
        <v>112</v>
      </c>
      <c r="B27" t="s">
        <v>113</v>
      </c>
      <c r="C27" s="1">
        <v>45954.333587962959</v>
      </c>
      <c r="D27" t="s">
        <v>114</v>
      </c>
      <c r="E27" t="s">
        <v>37</v>
      </c>
      <c r="F27">
        <v>4</v>
      </c>
      <c r="H27">
        <v>4</v>
      </c>
      <c r="J27">
        <v>4</v>
      </c>
      <c r="L27">
        <v>4</v>
      </c>
      <c r="N27">
        <v>4</v>
      </c>
      <c r="O27" t="s">
        <v>115</v>
      </c>
      <c r="P27">
        <v>8</v>
      </c>
      <c r="Q27" t="s">
        <v>115</v>
      </c>
    </row>
    <row r="28" spans="1:17" x14ac:dyDescent="0.2">
      <c r="A28" t="s">
        <v>116</v>
      </c>
      <c r="B28" t="s">
        <v>117</v>
      </c>
      <c r="C28" s="1">
        <v>45954.342546296299</v>
      </c>
      <c r="D28" t="s">
        <v>118</v>
      </c>
      <c r="E28" t="s">
        <v>20</v>
      </c>
      <c r="F28">
        <v>5</v>
      </c>
      <c r="H28">
        <v>5</v>
      </c>
      <c r="J28">
        <v>4</v>
      </c>
      <c r="L28">
        <v>4</v>
      </c>
      <c r="N28">
        <v>5</v>
      </c>
      <c r="P28">
        <v>10</v>
      </c>
    </row>
    <row r="29" spans="1:17" s="3" customFormat="1" x14ac:dyDescent="0.2">
      <c r="A29" s="3" t="s">
        <v>119</v>
      </c>
      <c r="B29" s="3" t="s">
        <v>120</v>
      </c>
      <c r="C29" s="15">
        <v>45954.978993055556</v>
      </c>
      <c r="D29" s="3" t="s">
        <v>121</v>
      </c>
      <c r="E29" s="3" t="s">
        <v>20</v>
      </c>
      <c r="F29" s="3">
        <v>4</v>
      </c>
      <c r="H29" s="3">
        <v>4</v>
      </c>
      <c r="J29" s="3">
        <v>4</v>
      </c>
      <c r="L29" s="3">
        <v>4</v>
      </c>
      <c r="N29" s="3">
        <v>4</v>
      </c>
      <c r="O29" s="3" t="s">
        <v>122</v>
      </c>
      <c r="P29" s="3">
        <v>7</v>
      </c>
      <c r="Q29" s="3" t="s">
        <v>123</v>
      </c>
    </row>
    <row r="30" spans="1:17" x14ac:dyDescent="0.2">
      <c r="A30" t="s">
        <v>124</v>
      </c>
      <c r="B30" t="s">
        <v>125</v>
      </c>
      <c r="C30" s="1">
        <v>45955.040451388886</v>
      </c>
      <c r="D30" t="s">
        <v>126</v>
      </c>
      <c r="E30" t="s">
        <v>49</v>
      </c>
      <c r="F30">
        <v>4</v>
      </c>
      <c r="H30">
        <v>5</v>
      </c>
      <c r="J30">
        <v>5</v>
      </c>
      <c r="L30">
        <v>4</v>
      </c>
      <c r="N30">
        <v>4</v>
      </c>
      <c r="P30">
        <v>8</v>
      </c>
    </row>
    <row r="31" spans="1:17" x14ac:dyDescent="0.2">
      <c r="A31" t="s">
        <v>127</v>
      </c>
      <c r="B31" t="s">
        <v>128</v>
      </c>
      <c r="C31" s="1">
        <v>45957.043541666666</v>
      </c>
      <c r="D31" t="s">
        <v>129</v>
      </c>
      <c r="E31" t="s">
        <v>49</v>
      </c>
      <c r="F31">
        <v>4</v>
      </c>
      <c r="H31">
        <v>4</v>
      </c>
      <c r="J31">
        <v>4</v>
      </c>
      <c r="L31">
        <v>4</v>
      </c>
      <c r="N31">
        <v>4</v>
      </c>
      <c r="P31">
        <v>8</v>
      </c>
    </row>
    <row r="32" spans="1:17" x14ac:dyDescent="0.2">
      <c r="A32" t="s">
        <v>130</v>
      </c>
      <c r="B32" t="s">
        <v>131</v>
      </c>
      <c r="C32" s="1">
        <v>45957.048831018517</v>
      </c>
      <c r="D32" t="s">
        <v>132</v>
      </c>
      <c r="E32" t="s">
        <v>20</v>
      </c>
      <c r="F32">
        <v>5</v>
      </c>
      <c r="H32">
        <v>5</v>
      </c>
      <c r="J32">
        <v>5</v>
      </c>
      <c r="L32">
        <v>5</v>
      </c>
      <c r="N32">
        <v>5</v>
      </c>
      <c r="P32">
        <v>9</v>
      </c>
    </row>
    <row r="33" spans="1:17" s="3" customFormat="1" x14ac:dyDescent="0.2">
      <c r="A33" s="3" t="s">
        <v>133</v>
      </c>
      <c r="B33" s="3" t="s">
        <v>134</v>
      </c>
      <c r="C33" s="15">
        <v>45957.049189814818</v>
      </c>
      <c r="D33" s="3" t="s">
        <v>135</v>
      </c>
      <c r="E33" s="3" t="s">
        <v>49</v>
      </c>
      <c r="F33" s="3">
        <v>5</v>
      </c>
      <c r="H33" s="3">
        <v>5</v>
      </c>
      <c r="J33" s="3">
        <v>5</v>
      </c>
      <c r="L33" s="3">
        <v>5</v>
      </c>
      <c r="N33" s="3">
        <v>5</v>
      </c>
      <c r="O33" s="3" t="s">
        <v>136</v>
      </c>
      <c r="P33" s="3">
        <v>8</v>
      </c>
      <c r="Q33" s="3" t="s">
        <v>137</v>
      </c>
    </row>
    <row r="34" spans="1:17" x14ac:dyDescent="0.2">
      <c r="A34" t="s">
        <v>138</v>
      </c>
      <c r="B34" t="s">
        <v>139</v>
      </c>
      <c r="C34" s="1">
        <v>45957.052511574075</v>
      </c>
      <c r="D34" t="s">
        <v>140</v>
      </c>
      <c r="E34" t="s">
        <v>49</v>
      </c>
      <c r="F34">
        <v>5</v>
      </c>
      <c r="H34">
        <v>5</v>
      </c>
      <c r="J34">
        <v>5</v>
      </c>
      <c r="L34">
        <v>5</v>
      </c>
      <c r="N34">
        <v>5</v>
      </c>
      <c r="O34" t="s">
        <v>141</v>
      </c>
      <c r="P34">
        <v>10</v>
      </c>
    </row>
    <row r="35" spans="1:17" s="3" customFormat="1" x14ac:dyDescent="0.2">
      <c r="A35" s="3" t="s">
        <v>142</v>
      </c>
      <c r="B35" s="3" t="s">
        <v>143</v>
      </c>
      <c r="C35" s="15">
        <v>45957.063055555554</v>
      </c>
      <c r="D35" s="3" t="s">
        <v>132</v>
      </c>
      <c r="E35" s="3" t="s">
        <v>20</v>
      </c>
      <c r="F35" s="3">
        <v>4</v>
      </c>
      <c r="H35" s="3">
        <v>4</v>
      </c>
      <c r="J35" s="3">
        <v>4</v>
      </c>
      <c r="L35" s="3">
        <v>3</v>
      </c>
      <c r="N35" s="3">
        <v>4</v>
      </c>
      <c r="O35" s="3" t="s">
        <v>144</v>
      </c>
      <c r="P35" s="3">
        <v>7</v>
      </c>
    </row>
    <row r="36" spans="1:17" x14ac:dyDescent="0.2">
      <c r="A36" t="s">
        <v>145</v>
      </c>
      <c r="B36" t="s">
        <v>146</v>
      </c>
      <c r="C36" s="1">
        <v>45957.092349537037</v>
      </c>
      <c r="D36" t="s">
        <v>147</v>
      </c>
      <c r="E36" t="s">
        <v>49</v>
      </c>
      <c r="F36">
        <v>3</v>
      </c>
      <c r="H36">
        <v>3</v>
      </c>
      <c r="J36">
        <v>3</v>
      </c>
      <c r="L36">
        <v>3</v>
      </c>
      <c r="N36">
        <v>3</v>
      </c>
      <c r="P36">
        <v>7</v>
      </c>
    </row>
    <row r="37" spans="1:17" s="3" customFormat="1" x14ac:dyDescent="0.2">
      <c r="A37" s="3" t="s">
        <v>148</v>
      </c>
      <c r="B37" s="3" t="s">
        <v>149</v>
      </c>
      <c r="C37" s="15">
        <v>45957.155335648145</v>
      </c>
      <c r="D37" s="3" t="s">
        <v>150</v>
      </c>
      <c r="E37" s="3" t="s">
        <v>20</v>
      </c>
      <c r="F37" s="3">
        <v>4</v>
      </c>
      <c r="H37" s="3">
        <v>4</v>
      </c>
      <c r="J37" s="3">
        <v>5</v>
      </c>
      <c r="L37" s="3">
        <v>4</v>
      </c>
      <c r="N37" s="3">
        <v>4</v>
      </c>
      <c r="O37" s="3" t="s">
        <v>151</v>
      </c>
      <c r="P37" s="3">
        <v>9</v>
      </c>
      <c r="Q37" s="3" t="s">
        <v>41</v>
      </c>
    </row>
    <row r="38" spans="1:17" x14ac:dyDescent="0.2">
      <c r="A38" t="s">
        <v>152</v>
      </c>
      <c r="B38" t="s">
        <v>153</v>
      </c>
      <c r="C38" s="1">
        <v>45957.158553240741</v>
      </c>
      <c r="D38" t="s">
        <v>154</v>
      </c>
      <c r="E38" t="s">
        <v>20</v>
      </c>
      <c r="F38">
        <v>5</v>
      </c>
      <c r="H38">
        <v>5</v>
      </c>
      <c r="J38">
        <v>4</v>
      </c>
      <c r="L38">
        <v>4</v>
      </c>
      <c r="N38">
        <v>4</v>
      </c>
      <c r="P38">
        <v>8</v>
      </c>
    </row>
    <row r="39" spans="1:17" x14ac:dyDescent="0.2">
      <c r="A39" t="s">
        <v>155</v>
      </c>
      <c r="B39" t="s">
        <v>156</v>
      </c>
      <c r="C39" s="1">
        <v>45957.205289351848</v>
      </c>
      <c r="D39" t="s">
        <v>157</v>
      </c>
      <c r="E39" t="s">
        <v>37</v>
      </c>
      <c r="F39">
        <v>4</v>
      </c>
      <c r="H39">
        <v>5</v>
      </c>
      <c r="J39">
        <v>4</v>
      </c>
      <c r="L39">
        <v>4</v>
      </c>
      <c r="N39">
        <v>4</v>
      </c>
      <c r="O39" t="s">
        <v>33</v>
      </c>
      <c r="P39">
        <v>8</v>
      </c>
      <c r="Q39" t="s">
        <v>158</v>
      </c>
    </row>
    <row r="40" spans="1:17" x14ac:dyDescent="0.2">
      <c r="A40" t="s">
        <v>159</v>
      </c>
      <c r="B40" t="s">
        <v>160</v>
      </c>
      <c r="C40" s="1">
        <v>45957.211238425924</v>
      </c>
      <c r="D40" t="s">
        <v>161</v>
      </c>
      <c r="E40" t="s">
        <v>49</v>
      </c>
      <c r="F40">
        <v>4</v>
      </c>
      <c r="H40">
        <v>5</v>
      </c>
      <c r="J40">
        <v>5</v>
      </c>
      <c r="L40">
        <v>4</v>
      </c>
      <c r="N40">
        <v>5</v>
      </c>
      <c r="P40">
        <v>7</v>
      </c>
    </row>
    <row r="41" spans="1:17" x14ac:dyDescent="0.2">
      <c r="A41" t="s">
        <v>162</v>
      </c>
      <c r="B41" t="s">
        <v>163</v>
      </c>
      <c r="C41" s="1">
        <v>45957.212314814817</v>
      </c>
      <c r="D41" t="s">
        <v>164</v>
      </c>
      <c r="E41" t="s">
        <v>20</v>
      </c>
      <c r="F41">
        <v>5</v>
      </c>
      <c r="H41">
        <v>5</v>
      </c>
      <c r="J41">
        <v>5</v>
      </c>
      <c r="L41">
        <v>4</v>
      </c>
      <c r="N41">
        <v>4</v>
      </c>
      <c r="P41">
        <v>9</v>
      </c>
    </row>
    <row r="42" spans="1:17" s="3" customFormat="1" x14ac:dyDescent="0.2">
      <c r="A42" s="3" t="s">
        <v>165</v>
      </c>
      <c r="B42" s="3" t="s">
        <v>166</v>
      </c>
      <c r="C42" s="15">
        <v>45957.219675925924</v>
      </c>
      <c r="D42" s="3" t="s">
        <v>167</v>
      </c>
      <c r="E42" s="3" t="s">
        <v>49</v>
      </c>
      <c r="F42" s="3">
        <v>3</v>
      </c>
      <c r="H42" s="3">
        <v>2</v>
      </c>
      <c r="I42" s="3" t="s">
        <v>168</v>
      </c>
      <c r="J42" s="3">
        <v>2</v>
      </c>
      <c r="K42" s="3" t="s">
        <v>169</v>
      </c>
      <c r="L42" s="3">
        <v>3</v>
      </c>
      <c r="N42" s="3">
        <v>3</v>
      </c>
      <c r="O42" s="3" t="s">
        <v>170</v>
      </c>
      <c r="P42" s="3">
        <v>5</v>
      </c>
      <c r="Q42" s="3" t="s">
        <v>171</v>
      </c>
    </row>
    <row r="43" spans="1:17" x14ac:dyDescent="0.2">
      <c r="A43" t="s">
        <v>172</v>
      </c>
      <c r="B43" t="s">
        <v>173</v>
      </c>
      <c r="C43" s="1">
        <v>45957.259756944448</v>
      </c>
      <c r="D43" t="s">
        <v>174</v>
      </c>
      <c r="E43" t="s">
        <v>37</v>
      </c>
      <c r="F43">
        <v>4</v>
      </c>
      <c r="H43">
        <v>4</v>
      </c>
      <c r="J43">
        <v>4</v>
      </c>
      <c r="L43">
        <v>4</v>
      </c>
      <c r="N43">
        <v>4</v>
      </c>
      <c r="P43">
        <v>8</v>
      </c>
    </row>
    <row r="44" spans="1:17" x14ac:dyDescent="0.2">
      <c r="A44" t="s">
        <v>175</v>
      </c>
      <c r="B44" t="s">
        <v>176</v>
      </c>
      <c r="C44" s="1">
        <v>45957.27988425926</v>
      </c>
      <c r="D44" t="s">
        <v>177</v>
      </c>
      <c r="E44" t="s">
        <v>20</v>
      </c>
      <c r="F44">
        <v>5</v>
      </c>
      <c r="H44">
        <v>5</v>
      </c>
      <c r="J44">
        <v>5</v>
      </c>
      <c r="L44">
        <v>5</v>
      </c>
      <c r="N44">
        <v>5</v>
      </c>
      <c r="O44" t="s">
        <v>178</v>
      </c>
      <c r="P44">
        <v>9</v>
      </c>
      <c r="Q44" t="s">
        <v>179</v>
      </c>
    </row>
    <row r="45" spans="1:17" x14ac:dyDescent="0.2">
      <c r="A45" t="s">
        <v>180</v>
      </c>
      <c r="B45" t="s">
        <v>181</v>
      </c>
      <c r="C45" s="1">
        <v>45957.330960648149</v>
      </c>
      <c r="D45" t="s">
        <v>182</v>
      </c>
      <c r="E45" t="s">
        <v>20</v>
      </c>
      <c r="F45">
        <v>5</v>
      </c>
      <c r="H45">
        <v>5</v>
      </c>
      <c r="J45">
        <v>5</v>
      </c>
      <c r="L45">
        <v>5</v>
      </c>
      <c r="N45">
        <v>5</v>
      </c>
      <c r="P45">
        <v>10</v>
      </c>
    </row>
    <row r="46" spans="1:17" s="3" customFormat="1" ht="136" x14ac:dyDescent="0.2">
      <c r="A46" s="3" t="s">
        <v>183</v>
      </c>
      <c r="B46" s="3" t="s">
        <v>184</v>
      </c>
      <c r="C46" s="15">
        <v>45957.433449074073</v>
      </c>
      <c r="D46" s="3" t="s">
        <v>185</v>
      </c>
      <c r="E46" s="3" t="s">
        <v>37</v>
      </c>
      <c r="F46" s="3">
        <v>4</v>
      </c>
      <c r="H46" s="3">
        <v>5</v>
      </c>
      <c r="J46" s="3">
        <v>5</v>
      </c>
      <c r="L46" s="3">
        <v>5</v>
      </c>
      <c r="N46" s="3">
        <v>5</v>
      </c>
      <c r="O46" s="3" t="s">
        <v>186</v>
      </c>
      <c r="P46" s="3">
        <v>10</v>
      </c>
      <c r="Q46" s="16" t="s">
        <v>187</v>
      </c>
    </row>
    <row r="47" spans="1:17" x14ac:dyDescent="0.2">
      <c r="A47" t="s">
        <v>188</v>
      </c>
      <c r="B47" t="s">
        <v>189</v>
      </c>
      <c r="C47" s="1">
        <v>45958.080625000002</v>
      </c>
      <c r="D47" t="s">
        <v>190</v>
      </c>
      <c r="E47" t="s">
        <v>37</v>
      </c>
      <c r="F47">
        <v>5</v>
      </c>
      <c r="H47">
        <v>5</v>
      </c>
      <c r="J47">
        <v>5</v>
      </c>
      <c r="L47">
        <v>5</v>
      </c>
      <c r="N47">
        <v>5</v>
      </c>
      <c r="P47">
        <v>10</v>
      </c>
    </row>
    <row r="48" spans="1:17" s="3" customFormat="1" ht="85" x14ac:dyDescent="0.2">
      <c r="A48" s="3" t="s">
        <v>191</v>
      </c>
      <c r="B48" s="3" t="s">
        <v>192</v>
      </c>
      <c r="C48" s="15">
        <v>45958.200810185182</v>
      </c>
      <c r="D48" s="3" t="s">
        <v>193</v>
      </c>
      <c r="E48" s="3" t="s">
        <v>49</v>
      </c>
      <c r="F48" s="3">
        <v>5</v>
      </c>
      <c r="H48" s="3">
        <v>5</v>
      </c>
      <c r="J48" s="3">
        <v>3</v>
      </c>
      <c r="L48" s="3">
        <v>5</v>
      </c>
      <c r="N48" s="3">
        <v>4</v>
      </c>
      <c r="O48" s="3" t="s">
        <v>194</v>
      </c>
      <c r="P48" s="3">
        <v>9</v>
      </c>
      <c r="Q48" s="16" t="s">
        <v>195</v>
      </c>
    </row>
    <row r="49" spans="1:17" s="3" customFormat="1" x14ac:dyDescent="0.2">
      <c r="A49" s="3" t="s">
        <v>196</v>
      </c>
      <c r="B49" s="3" t="s">
        <v>197</v>
      </c>
      <c r="C49" s="15">
        <v>45958.440138888887</v>
      </c>
      <c r="D49" s="3" t="s">
        <v>198</v>
      </c>
      <c r="E49" s="3" t="s">
        <v>20</v>
      </c>
      <c r="F49" s="3">
        <v>4</v>
      </c>
      <c r="H49" s="3">
        <v>5</v>
      </c>
      <c r="J49" s="3">
        <v>4</v>
      </c>
      <c r="L49" s="3">
        <v>4</v>
      </c>
      <c r="N49" s="3">
        <v>4</v>
      </c>
      <c r="O49" s="3" t="s">
        <v>199</v>
      </c>
      <c r="P49" s="3">
        <v>8</v>
      </c>
    </row>
    <row r="50" spans="1:17" x14ac:dyDescent="0.2">
      <c r="A50" t="s">
        <v>200</v>
      </c>
      <c r="B50" t="s">
        <v>201</v>
      </c>
      <c r="C50" s="1">
        <v>45959.055393518516</v>
      </c>
      <c r="D50" t="s">
        <v>202</v>
      </c>
      <c r="E50" t="s">
        <v>49</v>
      </c>
      <c r="F50">
        <v>4</v>
      </c>
      <c r="H50">
        <v>4</v>
      </c>
      <c r="J50">
        <v>3</v>
      </c>
      <c r="L50">
        <v>4</v>
      </c>
      <c r="N50">
        <v>4</v>
      </c>
      <c r="P50">
        <v>8</v>
      </c>
    </row>
    <row r="51" spans="1:17" x14ac:dyDescent="0.2">
      <c r="A51" t="s">
        <v>203</v>
      </c>
      <c r="B51" t="s">
        <v>204</v>
      </c>
      <c r="C51" s="1">
        <v>45959.071111111109</v>
      </c>
      <c r="D51" t="s">
        <v>205</v>
      </c>
      <c r="E51" t="s">
        <v>37</v>
      </c>
      <c r="F51">
        <v>5</v>
      </c>
      <c r="H51">
        <v>5</v>
      </c>
      <c r="J51">
        <v>5</v>
      </c>
      <c r="L51">
        <v>5</v>
      </c>
      <c r="N51">
        <v>5</v>
      </c>
      <c r="P51">
        <v>10</v>
      </c>
    </row>
    <row r="52" spans="1:17" s="3" customFormat="1" x14ac:dyDescent="0.2">
      <c r="A52" s="3" t="s">
        <v>206</v>
      </c>
      <c r="B52" s="3" t="s">
        <v>207</v>
      </c>
      <c r="C52" s="15">
        <v>45959.097777777781</v>
      </c>
      <c r="D52" s="3" t="s">
        <v>208</v>
      </c>
      <c r="E52" s="3" t="s">
        <v>20</v>
      </c>
      <c r="F52" s="3">
        <v>5</v>
      </c>
      <c r="H52" s="3">
        <v>5</v>
      </c>
      <c r="J52" s="3">
        <v>5</v>
      </c>
      <c r="L52" s="3">
        <v>5</v>
      </c>
      <c r="N52" s="3">
        <v>5</v>
      </c>
      <c r="O52" s="3" t="s">
        <v>209</v>
      </c>
      <c r="P52" s="3">
        <v>9</v>
      </c>
      <c r="Q52" s="3" t="s">
        <v>210</v>
      </c>
    </row>
    <row r="53" spans="1:17" s="3" customFormat="1" x14ac:dyDescent="0.2">
      <c r="A53" s="3" t="s">
        <v>211</v>
      </c>
      <c r="B53" s="3" t="s">
        <v>212</v>
      </c>
      <c r="C53" s="15">
        <v>45959.159768518519</v>
      </c>
      <c r="D53" s="3" t="s">
        <v>213</v>
      </c>
      <c r="E53" s="3" t="s">
        <v>214</v>
      </c>
      <c r="F53" s="3">
        <v>5</v>
      </c>
      <c r="H53" s="3">
        <v>5</v>
      </c>
      <c r="J53" s="3">
        <v>5</v>
      </c>
      <c r="L53" s="3">
        <v>5</v>
      </c>
      <c r="N53" s="3">
        <v>5</v>
      </c>
      <c r="O53" s="3" t="s">
        <v>215</v>
      </c>
      <c r="P53" s="3">
        <v>10</v>
      </c>
      <c r="Q53" s="3" t="s">
        <v>136</v>
      </c>
    </row>
    <row r="54" spans="1:17" x14ac:dyDescent="0.2">
      <c r="A54" t="s">
        <v>216</v>
      </c>
      <c r="B54" t="s">
        <v>217</v>
      </c>
      <c r="C54" s="1">
        <v>45959.327187499999</v>
      </c>
      <c r="D54" t="s">
        <v>218</v>
      </c>
      <c r="E54" t="s">
        <v>49</v>
      </c>
      <c r="F54">
        <v>5</v>
      </c>
      <c r="H54">
        <v>4</v>
      </c>
      <c r="J54">
        <v>4</v>
      </c>
      <c r="L54">
        <v>4</v>
      </c>
      <c r="N54">
        <v>4</v>
      </c>
      <c r="P54">
        <v>8</v>
      </c>
    </row>
    <row r="55" spans="1:17" s="3" customFormat="1" x14ac:dyDescent="0.2">
      <c r="A55" s="3" t="s">
        <v>219</v>
      </c>
      <c r="B55" s="3" t="s">
        <v>220</v>
      </c>
      <c r="C55" s="15">
        <v>45959.342685185184</v>
      </c>
      <c r="D55" s="3" t="s">
        <v>221</v>
      </c>
      <c r="E55" s="3" t="s">
        <v>49</v>
      </c>
      <c r="F55" s="3">
        <v>5</v>
      </c>
      <c r="H55" s="3">
        <v>5</v>
      </c>
      <c r="J55" s="3">
        <v>5</v>
      </c>
      <c r="L55" s="3">
        <v>5</v>
      </c>
      <c r="N55" s="3">
        <v>5</v>
      </c>
      <c r="O55" s="3" t="s">
        <v>222</v>
      </c>
      <c r="P55" s="3">
        <v>10</v>
      </c>
      <c r="Q55" s="3" t="s">
        <v>223</v>
      </c>
    </row>
    <row r="56" spans="1:17" s="3" customFormat="1" x14ac:dyDescent="0.2">
      <c r="A56" s="3" t="s">
        <v>224</v>
      </c>
      <c r="B56" s="3" t="s">
        <v>225</v>
      </c>
      <c r="C56" s="15">
        <v>45960.148842592593</v>
      </c>
      <c r="D56" s="3" t="s">
        <v>226</v>
      </c>
      <c r="E56" s="3" t="s">
        <v>83</v>
      </c>
      <c r="F56" s="3">
        <v>4</v>
      </c>
      <c r="H56" s="3">
        <v>5</v>
      </c>
      <c r="J56" s="3">
        <v>5</v>
      </c>
      <c r="L56" s="3">
        <v>5</v>
      </c>
      <c r="N56" s="3">
        <v>4</v>
      </c>
      <c r="O56" s="3" t="s">
        <v>227</v>
      </c>
      <c r="P56" s="3">
        <v>7</v>
      </c>
      <c r="Q56" s="3" t="s">
        <v>136</v>
      </c>
    </row>
    <row r="57" spans="1:17" x14ac:dyDescent="0.2">
      <c r="A57" t="s">
        <v>228</v>
      </c>
      <c r="B57" t="s">
        <v>225</v>
      </c>
      <c r="C57" s="1">
        <v>45960.277453703704</v>
      </c>
      <c r="D57" t="s">
        <v>229</v>
      </c>
      <c r="E57" t="s">
        <v>49</v>
      </c>
      <c r="F57">
        <v>5</v>
      </c>
      <c r="H57">
        <v>5</v>
      </c>
      <c r="J57">
        <v>4</v>
      </c>
      <c r="L57">
        <v>4</v>
      </c>
      <c r="N57">
        <v>4</v>
      </c>
      <c r="O57" t="s">
        <v>230</v>
      </c>
      <c r="P57">
        <v>8</v>
      </c>
      <c r="Q57" t="s">
        <v>231</v>
      </c>
    </row>
    <row r="58" spans="1:17" x14ac:dyDescent="0.2">
      <c r="A58" t="s">
        <v>232</v>
      </c>
      <c r="B58" t="s">
        <v>233</v>
      </c>
      <c r="C58" s="1">
        <v>45960.328020833331</v>
      </c>
      <c r="D58" t="s">
        <v>234</v>
      </c>
      <c r="E58" t="s">
        <v>49</v>
      </c>
      <c r="F58">
        <v>5</v>
      </c>
      <c r="H58">
        <v>5</v>
      </c>
      <c r="J58">
        <v>5</v>
      </c>
      <c r="L58">
        <v>4</v>
      </c>
      <c r="N58">
        <v>5</v>
      </c>
      <c r="P58">
        <v>10</v>
      </c>
    </row>
    <row r="59" spans="1:17" x14ac:dyDescent="0.2">
      <c r="A59" t="s">
        <v>235</v>
      </c>
      <c r="B59" t="s">
        <v>236</v>
      </c>
      <c r="C59" s="1">
        <v>45961.069780092592</v>
      </c>
      <c r="D59" t="s">
        <v>237</v>
      </c>
      <c r="E59" t="s">
        <v>49</v>
      </c>
      <c r="F59">
        <v>4</v>
      </c>
      <c r="H59">
        <v>5</v>
      </c>
      <c r="J59">
        <v>4</v>
      </c>
      <c r="L59">
        <v>4</v>
      </c>
      <c r="N59">
        <v>5</v>
      </c>
      <c r="O59" t="s">
        <v>238</v>
      </c>
      <c r="P59">
        <v>9</v>
      </c>
      <c r="Q59" t="s">
        <v>136</v>
      </c>
    </row>
    <row r="60" spans="1:17" x14ac:dyDescent="0.2">
      <c r="A60" t="s">
        <v>239</v>
      </c>
      <c r="B60" t="s">
        <v>240</v>
      </c>
      <c r="C60" s="1">
        <v>45965.290393518517</v>
      </c>
      <c r="D60" t="s">
        <v>241</v>
      </c>
      <c r="E60" t="s">
        <v>20</v>
      </c>
      <c r="F60">
        <v>5</v>
      </c>
      <c r="H60">
        <v>5</v>
      </c>
      <c r="J60">
        <v>5</v>
      </c>
      <c r="L60">
        <v>5</v>
      </c>
      <c r="N60">
        <v>5</v>
      </c>
      <c r="O60" t="s">
        <v>242</v>
      </c>
      <c r="P60">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BA88D-2202-A548-A385-A2CA73CDE220}">
  <dimension ref="A1:E60"/>
  <sheetViews>
    <sheetView workbookViewId="0">
      <selection activeCell="C11" sqref="C11"/>
    </sheetView>
  </sheetViews>
  <sheetFormatPr baseColWidth="10" defaultRowHeight="16" x14ac:dyDescent="0.2"/>
  <cols>
    <col min="5" max="5" width="10.83203125" customWidth="1"/>
  </cols>
  <sheetData>
    <row r="1" spans="1:5" x14ac:dyDescent="0.2">
      <c r="A1" s="9" t="s">
        <v>15</v>
      </c>
    </row>
    <row r="2" spans="1:5" x14ac:dyDescent="0.2">
      <c r="A2" s="9">
        <v>10</v>
      </c>
    </row>
    <row r="3" spans="1:5" x14ac:dyDescent="0.2">
      <c r="A3" s="9">
        <v>10</v>
      </c>
      <c r="E3" t="s">
        <v>289</v>
      </c>
    </row>
    <row r="4" spans="1:5" x14ac:dyDescent="0.2">
      <c r="A4" s="9">
        <v>10</v>
      </c>
      <c r="C4" t="s">
        <v>286</v>
      </c>
      <c r="D4">
        <f>COUNT(A:A)</f>
        <v>59</v>
      </c>
    </row>
    <row r="5" spans="1:5" x14ac:dyDescent="0.2">
      <c r="A5" s="9">
        <v>9</v>
      </c>
      <c r="C5" s="11" t="s">
        <v>287</v>
      </c>
      <c r="D5">
        <f>COUNTIFS(A2:A60, "&gt;=0", A2:A60, "&lt;=6")</f>
        <v>2</v>
      </c>
      <c r="E5" s="13">
        <f>D5/D4</f>
        <v>3.3898305084745763E-2</v>
      </c>
    </row>
    <row r="6" spans="1:5" x14ac:dyDescent="0.2">
      <c r="A6" s="9">
        <v>9</v>
      </c>
      <c r="C6" s="10" t="s">
        <v>288</v>
      </c>
      <c r="D6">
        <f>COUNTIFS(A2:A60, "&gt;=9", A2:A60, "&lt;=10")</f>
        <v>37</v>
      </c>
      <c r="E6" s="12">
        <f>D6/D4</f>
        <v>0.6271186440677966</v>
      </c>
    </row>
    <row r="7" spans="1:5" x14ac:dyDescent="0.2">
      <c r="A7" s="9">
        <v>10</v>
      </c>
    </row>
    <row r="8" spans="1:5" x14ac:dyDescent="0.2">
      <c r="A8" s="9">
        <v>9</v>
      </c>
      <c r="D8" t="s">
        <v>290</v>
      </c>
      <c r="E8" s="14">
        <f>E6-E5</f>
        <v>0.59322033898305082</v>
      </c>
    </row>
    <row r="9" spans="1:5" x14ac:dyDescent="0.2">
      <c r="A9" s="9">
        <v>8</v>
      </c>
    </row>
    <row r="10" spans="1:5" x14ac:dyDescent="0.2">
      <c r="A10" s="9">
        <v>7</v>
      </c>
    </row>
    <row r="11" spans="1:5" x14ac:dyDescent="0.2">
      <c r="A11" s="9">
        <v>10</v>
      </c>
    </row>
    <row r="12" spans="1:5" x14ac:dyDescent="0.2">
      <c r="A12" s="9">
        <v>9</v>
      </c>
    </row>
    <row r="13" spans="1:5" x14ac:dyDescent="0.2">
      <c r="A13" s="9">
        <v>9</v>
      </c>
    </row>
    <row r="14" spans="1:5" x14ac:dyDescent="0.2">
      <c r="A14" s="9">
        <v>10</v>
      </c>
    </row>
    <row r="15" spans="1:5" x14ac:dyDescent="0.2">
      <c r="A15" s="9">
        <v>5</v>
      </c>
    </row>
    <row r="16" spans="1:5" x14ac:dyDescent="0.2">
      <c r="A16" s="9">
        <v>9</v>
      </c>
    </row>
    <row r="17" spans="1:1" x14ac:dyDescent="0.2">
      <c r="A17" s="9">
        <v>10</v>
      </c>
    </row>
    <row r="18" spans="1:1" x14ac:dyDescent="0.2">
      <c r="A18" s="9">
        <v>10</v>
      </c>
    </row>
    <row r="19" spans="1:1" x14ac:dyDescent="0.2">
      <c r="A19" s="9">
        <v>9</v>
      </c>
    </row>
    <row r="20" spans="1:1" x14ac:dyDescent="0.2">
      <c r="A20" s="9">
        <v>10</v>
      </c>
    </row>
    <row r="21" spans="1:1" x14ac:dyDescent="0.2">
      <c r="A21" s="9">
        <v>7</v>
      </c>
    </row>
    <row r="22" spans="1:1" x14ac:dyDescent="0.2">
      <c r="A22" s="9">
        <v>10</v>
      </c>
    </row>
    <row r="23" spans="1:1" x14ac:dyDescent="0.2">
      <c r="A23" s="9">
        <v>8</v>
      </c>
    </row>
    <row r="24" spans="1:1" x14ac:dyDescent="0.2">
      <c r="A24" s="9">
        <v>9</v>
      </c>
    </row>
    <row r="25" spans="1:1" x14ac:dyDescent="0.2">
      <c r="A25" s="9">
        <v>10</v>
      </c>
    </row>
    <row r="26" spans="1:1" x14ac:dyDescent="0.2">
      <c r="A26" s="9">
        <v>10</v>
      </c>
    </row>
    <row r="27" spans="1:1" x14ac:dyDescent="0.2">
      <c r="A27" s="9">
        <v>8</v>
      </c>
    </row>
    <row r="28" spans="1:1" x14ac:dyDescent="0.2">
      <c r="A28" s="9">
        <v>10</v>
      </c>
    </row>
    <row r="29" spans="1:1" x14ac:dyDescent="0.2">
      <c r="A29" s="9">
        <v>7</v>
      </c>
    </row>
    <row r="30" spans="1:1" x14ac:dyDescent="0.2">
      <c r="A30" s="9">
        <v>8</v>
      </c>
    </row>
    <row r="31" spans="1:1" x14ac:dyDescent="0.2">
      <c r="A31" s="9">
        <v>8</v>
      </c>
    </row>
    <row r="32" spans="1:1" x14ac:dyDescent="0.2">
      <c r="A32" s="9">
        <v>9</v>
      </c>
    </row>
    <row r="33" spans="1:1" x14ac:dyDescent="0.2">
      <c r="A33" s="9">
        <v>8</v>
      </c>
    </row>
    <row r="34" spans="1:1" x14ac:dyDescent="0.2">
      <c r="A34" s="9">
        <v>10</v>
      </c>
    </row>
    <row r="35" spans="1:1" x14ac:dyDescent="0.2">
      <c r="A35" s="9">
        <v>7</v>
      </c>
    </row>
    <row r="36" spans="1:1" x14ac:dyDescent="0.2">
      <c r="A36" s="9">
        <v>7</v>
      </c>
    </row>
    <row r="37" spans="1:1" x14ac:dyDescent="0.2">
      <c r="A37" s="9">
        <v>9</v>
      </c>
    </row>
    <row r="38" spans="1:1" x14ac:dyDescent="0.2">
      <c r="A38" s="9">
        <v>8</v>
      </c>
    </row>
    <row r="39" spans="1:1" x14ac:dyDescent="0.2">
      <c r="A39" s="9">
        <v>8</v>
      </c>
    </row>
    <row r="40" spans="1:1" x14ac:dyDescent="0.2">
      <c r="A40" s="9">
        <v>7</v>
      </c>
    </row>
    <row r="41" spans="1:1" x14ac:dyDescent="0.2">
      <c r="A41" s="9">
        <v>9</v>
      </c>
    </row>
    <row r="42" spans="1:1" x14ac:dyDescent="0.2">
      <c r="A42" s="9">
        <v>5</v>
      </c>
    </row>
    <row r="43" spans="1:1" x14ac:dyDescent="0.2">
      <c r="A43" s="9">
        <v>8</v>
      </c>
    </row>
    <row r="44" spans="1:1" x14ac:dyDescent="0.2">
      <c r="A44" s="9">
        <v>9</v>
      </c>
    </row>
    <row r="45" spans="1:1" x14ac:dyDescent="0.2">
      <c r="A45" s="9">
        <v>10</v>
      </c>
    </row>
    <row r="46" spans="1:1" x14ac:dyDescent="0.2">
      <c r="A46" s="9">
        <v>10</v>
      </c>
    </row>
    <row r="47" spans="1:1" x14ac:dyDescent="0.2">
      <c r="A47" s="9">
        <v>10</v>
      </c>
    </row>
    <row r="48" spans="1:1" x14ac:dyDescent="0.2">
      <c r="A48" s="9">
        <v>9</v>
      </c>
    </row>
    <row r="49" spans="1:1" x14ac:dyDescent="0.2">
      <c r="A49" s="9">
        <v>8</v>
      </c>
    </row>
    <row r="50" spans="1:1" x14ac:dyDescent="0.2">
      <c r="A50" s="9">
        <v>8</v>
      </c>
    </row>
    <row r="51" spans="1:1" x14ac:dyDescent="0.2">
      <c r="A51" s="9">
        <v>10</v>
      </c>
    </row>
    <row r="52" spans="1:1" x14ac:dyDescent="0.2">
      <c r="A52" s="9">
        <v>9</v>
      </c>
    </row>
    <row r="53" spans="1:1" x14ac:dyDescent="0.2">
      <c r="A53" s="9">
        <v>10</v>
      </c>
    </row>
    <row r="54" spans="1:1" x14ac:dyDescent="0.2">
      <c r="A54" s="9">
        <v>8</v>
      </c>
    </row>
    <row r="55" spans="1:1" x14ac:dyDescent="0.2">
      <c r="A55" s="9">
        <v>10</v>
      </c>
    </row>
    <row r="56" spans="1:1" x14ac:dyDescent="0.2">
      <c r="A56" s="9">
        <v>7</v>
      </c>
    </row>
    <row r="57" spans="1:1" x14ac:dyDescent="0.2">
      <c r="A57" s="9">
        <v>8</v>
      </c>
    </row>
    <row r="58" spans="1:1" x14ac:dyDescent="0.2">
      <c r="A58" s="9">
        <v>10</v>
      </c>
    </row>
    <row r="59" spans="1:1" x14ac:dyDescent="0.2">
      <c r="A59" s="9">
        <v>9</v>
      </c>
    </row>
    <row r="60" spans="1:1" x14ac:dyDescent="0.2">
      <c r="A60" s="9">
        <v>9</v>
      </c>
    </row>
  </sheetData>
  <conditionalFormatting sqref="A2:A60">
    <cfRule type="cellIs" dxfId="0" priority="1" operator="lessThan">
      <formula>7</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67648-EA7C-EB47-BB0E-52262E7E83F7}">
  <dimension ref="A1:F60"/>
  <sheetViews>
    <sheetView workbookViewId="0">
      <selection activeCell="D24" sqref="A1:F60"/>
    </sheetView>
  </sheetViews>
  <sheetFormatPr baseColWidth="10" defaultRowHeight="16" x14ac:dyDescent="0.2"/>
  <cols>
    <col min="1" max="1" width="10.83203125" style="5"/>
  </cols>
  <sheetData>
    <row r="1" spans="1:6" x14ac:dyDescent="0.2">
      <c r="B1" t="s">
        <v>243</v>
      </c>
      <c r="C1" t="s">
        <v>244</v>
      </c>
      <c r="D1" t="s">
        <v>245</v>
      </c>
      <c r="E1" t="s">
        <v>246</v>
      </c>
      <c r="F1" t="s">
        <v>247</v>
      </c>
    </row>
    <row r="2" spans="1:6" x14ac:dyDescent="0.2">
      <c r="A2" s="17" t="s">
        <v>248</v>
      </c>
      <c r="B2" s="3">
        <v>5</v>
      </c>
      <c r="C2" s="3">
        <v>5</v>
      </c>
      <c r="D2" s="3">
        <v>5</v>
      </c>
      <c r="E2" s="3">
        <v>5</v>
      </c>
      <c r="F2" s="3">
        <v>5</v>
      </c>
    </row>
    <row r="3" spans="1:6" x14ac:dyDescent="0.2">
      <c r="A3" s="17"/>
      <c r="B3" s="3">
        <v>5</v>
      </c>
      <c r="C3" s="3">
        <v>5</v>
      </c>
      <c r="D3" s="3">
        <v>5</v>
      </c>
      <c r="E3" s="3">
        <v>5</v>
      </c>
      <c r="F3" s="3">
        <v>5</v>
      </c>
    </row>
    <row r="4" spans="1:6" x14ac:dyDescent="0.2">
      <c r="A4" s="17"/>
      <c r="B4" s="3">
        <v>5</v>
      </c>
      <c r="C4" s="3">
        <v>5</v>
      </c>
      <c r="D4" s="3">
        <v>5</v>
      </c>
      <c r="E4" s="3">
        <v>5</v>
      </c>
      <c r="F4" s="3">
        <v>5</v>
      </c>
    </row>
    <row r="5" spans="1:6" x14ac:dyDescent="0.2">
      <c r="A5" s="17"/>
      <c r="B5" s="3">
        <v>5</v>
      </c>
      <c r="C5" s="3">
        <v>5</v>
      </c>
      <c r="D5" s="3">
        <v>5</v>
      </c>
      <c r="E5" s="3">
        <v>5</v>
      </c>
      <c r="F5" s="3">
        <v>5</v>
      </c>
    </row>
    <row r="6" spans="1:6" x14ac:dyDescent="0.2">
      <c r="A6" s="17"/>
      <c r="B6" s="3">
        <v>5</v>
      </c>
      <c r="C6" s="3">
        <v>5</v>
      </c>
      <c r="D6" s="3">
        <v>4</v>
      </c>
      <c r="E6" s="3">
        <v>5</v>
      </c>
      <c r="F6" s="3">
        <v>4</v>
      </c>
    </row>
    <row r="7" spans="1:6" x14ac:dyDescent="0.2">
      <c r="A7" s="17"/>
      <c r="B7" s="3">
        <v>5</v>
      </c>
      <c r="C7" s="3">
        <v>5</v>
      </c>
      <c r="D7" s="3">
        <v>5</v>
      </c>
      <c r="E7" s="3">
        <v>5</v>
      </c>
      <c r="F7" s="3">
        <v>5</v>
      </c>
    </row>
    <row r="8" spans="1:6" x14ac:dyDescent="0.2">
      <c r="A8" s="17"/>
      <c r="B8" s="3">
        <v>5</v>
      </c>
      <c r="C8" s="3">
        <v>5</v>
      </c>
      <c r="D8" s="3">
        <v>5</v>
      </c>
      <c r="E8" s="3">
        <v>5</v>
      </c>
      <c r="F8" s="3">
        <v>5</v>
      </c>
    </row>
    <row r="9" spans="1:6" x14ac:dyDescent="0.2">
      <c r="A9" s="17"/>
      <c r="B9" s="3">
        <v>4</v>
      </c>
      <c r="C9" s="3">
        <v>5</v>
      </c>
      <c r="D9" s="3">
        <v>4</v>
      </c>
      <c r="E9" s="3">
        <v>5</v>
      </c>
      <c r="F9" s="3">
        <v>5</v>
      </c>
    </row>
    <row r="10" spans="1:6" x14ac:dyDescent="0.2">
      <c r="A10" s="17" t="s">
        <v>249</v>
      </c>
      <c r="B10" s="4">
        <v>4</v>
      </c>
      <c r="C10" s="4">
        <v>4</v>
      </c>
      <c r="D10" s="4">
        <v>3</v>
      </c>
      <c r="E10" s="4">
        <v>4</v>
      </c>
      <c r="F10" s="4">
        <v>4</v>
      </c>
    </row>
    <row r="11" spans="1:6" x14ac:dyDescent="0.2">
      <c r="A11" s="17"/>
      <c r="B11" s="4">
        <v>5</v>
      </c>
      <c r="C11" s="4">
        <v>5</v>
      </c>
      <c r="D11" s="4">
        <v>5</v>
      </c>
      <c r="E11" s="4">
        <v>5</v>
      </c>
      <c r="F11" s="4">
        <v>5</v>
      </c>
    </row>
    <row r="12" spans="1:6" x14ac:dyDescent="0.2">
      <c r="A12" s="17"/>
      <c r="B12" s="4">
        <v>5</v>
      </c>
      <c r="C12" s="4">
        <v>5</v>
      </c>
      <c r="D12" s="4">
        <v>4</v>
      </c>
      <c r="E12" s="4">
        <v>5</v>
      </c>
      <c r="F12" s="4">
        <v>4</v>
      </c>
    </row>
    <row r="13" spans="1:6" x14ac:dyDescent="0.2">
      <c r="A13" s="17"/>
      <c r="B13" s="4">
        <v>5</v>
      </c>
      <c r="C13" s="4">
        <v>5</v>
      </c>
      <c r="D13" s="4">
        <v>5</v>
      </c>
      <c r="E13" s="4">
        <v>4</v>
      </c>
      <c r="F13" s="4">
        <v>5</v>
      </c>
    </row>
    <row r="14" spans="1:6" x14ac:dyDescent="0.2">
      <c r="A14" s="17"/>
      <c r="B14" s="4">
        <v>5</v>
      </c>
      <c r="C14" s="4">
        <v>5</v>
      </c>
      <c r="D14" s="4">
        <v>5</v>
      </c>
      <c r="E14" s="4">
        <v>5</v>
      </c>
      <c r="F14" s="4">
        <v>5</v>
      </c>
    </row>
    <row r="15" spans="1:6" x14ac:dyDescent="0.2">
      <c r="A15" s="17"/>
      <c r="B15" s="4">
        <v>4</v>
      </c>
      <c r="C15" s="4">
        <v>2</v>
      </c>
      <c r="D15" s="4">
        <v>2</v>
      </c>
      <c r="E15" s="4">
        <v>4</v>
      </c>
      <c r="F15" s="4">
        <v>3</v>
      </c>
    </row>
    <row r="16" spans="1:6" x14ac:dyDescent="0.2">
      <c r="A16" s="17"/>
      <c r="B16" s="4">
        <v>4</v>
      </c>
      <c r="C16" s="4">
        <v>4</v>
      </c>
      <c r="D16" s="4">
        <v>4</v>
      </c>
      <c r="E16" s="4">
        <v>3</v>
      </c>
      <c r="F16" s="4">
        <v>4</v>
      </c>
    </row>
    <row r="17" spans="1:6" x14ac:dyDescent="0.2">
      <c r="A17" s="17"/>
      <c r="B17" s="4">
        <v>5</v>
      </c>
      <c r="C17" s="4">
        <v>5</v>
      </c>
      <c r="D17" s="4">
        <v>5</v>
      </c>
      <c r="E17" s="4">
        <v>5</v>
      </c>
      <c r="F17" s="4">
        <v>5</v>
      </c>
    </row>
    <row r="18" spans="1:6" x14ac:dyDescent="0.2">
      <c r="A18" s="17"/>
      <c r="B18" s="4">
        <v>5</v>
      </c>
      <c r="C18" s="4">
        <v>5</v>
      </c>
      <c r="D18" s="4">
        <v>5</v>
      </c>
      <c r="E18" s="4">
        <v>5</v>
      </c>
      <c r="F18" s="4">
        <v>5</v>
      </c>
    </row>
    <row r="19" spans="1:6" x14ac:dyDescent="0.2">
      <c r="A19" s="17" t="s">
        <v>250</v>
      </c>
      <c r="B19" s="3">
        <v>5</v>
      </c>
      <c r="C19" s="3">
        <v>4</v>
      </c>
      <c r="D19" s="3">
        <v>4</v>
      </c>
      <c r="E19" s="3">
        <v>4</v>
      </c>
      <c r="F19" s="3">
        <v>4</v>
      </c>
    </row>
    <row r="20" spans="1:6" x14ac:dyDescent="0.2">
      <c r="A20" s="17"/>
      <c r="B20" s="3">
        <v>5</v>
      </c>
      <c r="C20" s="3">
        <v>5</v>
      </c>
      <c r="D20" s="3">
        <v>5</v>
      </c>
      <c r="E20" s="3">
        <v>5</v>
      </c>
      <c r="F20" s="3">
        <v>5</v>
      </c>
    </row>
    <row r="21" spans="1:6" x14ac:dyDescent="0.2">
      <c r="A21" s="17"/>
      <c r="B21" s="3">
        <v>4</v>
      </c>
      <c r="C21" s="3">
        <v>3</v>
      </c>
      <c r="D21" s="3">
        <v>3</v>
      </c>
      <c r="E21" s="3">
        <v>3</v>
      </c>
      <c r="F21" s="3">
        <v>3</v>
      </c>
    </row>
    <row r="22" spans="1:6" x14ac:dyDescent="0.2">
      <c r="A22" s="17"/>
      <c r="B22" s="3">
        <v>5</v>
      </c>
      <c r="C22" s="3">
        <v>5</v>
      </c>
      <c r="D22" s="3">
        <v>5</v>
      </c>
      <c r="E22" s="3">
        <v>5</v>
      </c>
      <c r="F22" s="3">
        <v>5</v>
      </c>
    </row>
    <row r="23" spans="1:6" x14ac:dyDescent="0.2">
      <c r="A23" s="17"/>
      <c r="B23" s="3">
        <v>4</v>
      </c>
      <c r="C23" s="3">
        <v>4</v>
      </c>
      <c r="D23" s="3">
        <v>4</v>
      </c>
      <c r="E23" s="3">
        <v>4</v>
      </c>
      <c r="F23" s="3">
        <v>4</v>
      </c>
    </row>
    <row r="24" spans="1:6" x14ac:dyDescent="0.2">
      <c r="A24" s="17"/>
      <c r="B24" s="3">
        <v>4</v>
      </c>
      <c r="C24" s="3">
        <v>4</v>
      </c>
      <c r="D24" s="3">
        <v>4</v>
      </c>
      <c r="E24" s="3">
        <v>4</v>
      </c>
      <c r="F24" s="3">
        <v>4</v>
      </c>
    </row>
    <row r="25" spans="1:6" x14ac:dyDescent="0.2">
      <c r="A25" s="17"/>
      <c r="B25" s="3">
        <v>5</v>
      </c>
      <c r="C25" s="3">
        <v>5</v>
      </c>
      <c r="D25" s="3">
        <v>5</v>
      </c>
      <c r="E25" s="3">
        <v>5</v>
      </c>
      <c r="F25" s="3">
        <v>5</v>
      </c>
    </row>
    <row r="26" spans="1:6" x14ac:dyDescent="0.2">
      <c r="A26" s="17"/>
      <c r="B26" s="3">
        <v>5</v>
      </c>
      <c r="C26" s="3">
        <v>5</v>
      </c>
      <c r="D26" s="3">
        <v>5</v>
      </c>
      <c r="E26" s="3">
        <v>5</v>
      </c>
      <c r="F26" s="3">
        <v>5</v>
      </c>
    </row>
    <row r="27" spans="1:6" x14ac:dyDescent="0.2">
      <c r="A27" s="17" t="s">
        <v>251</v>
      </c>
      <c r="B27" s="4">
        <v>4</v>
      </c>
      <c r="C27" s="4">
        <v>4</v>
      </c>
      <c r="D27" s="4">
        <v>4</v>
      </c>
      <c r="E27" s="4">
        <v>4</v>
      </c>
      <c r="F27" s="4">
        <v>4</v>
      </c>
    </row>
    <row r="28" spans="1:6" x14ac:dyDescent="0.2">
      <c r="A28" s="17"/>
      <c r="B28" s="4">
        <v>5</v>
      </c>
      <c r="C28" s="4">
        <v>5</v>
      </c>
      <c r="D28" s="4">
        <v>4</v>
      </c>
      <c r="E28" s="4">
        <v>4</v>
      </c>
      <c r="F28" s="4">
        <v>5</v>
      </c>
    </row>
    <row r="29" spans="1:6" x14ac:dyDescent="0.2">
      <c r="A29" s="17"/>
      <c r="B29" s="4">
        <v>4</v>
      </c>
      <c r="C29" s="4">
        <v>4</v>
      </c>
      <c r="D29" s="4">
        <v>4</v>
      </c>
      <c r="E29" s="4">
        <v>4</v>
      </c>
      <c r="F29" s="4">
        <v>4</v>
      </c>
    </row>
    <row r="30" spans="1:6" x14ac:dyDescent="0.2">
      <c r="A30" s="17"/>
      <c r="B30" s="4">
        <v>4</v>
      </c>
      <c r="C30" s="4">
        <v>5</v>
      </c>
      <c r="D30" s="4">
        <v>5</v>
      </c>
      <c r="E30" s="4">
        <v>4</v>
      </c>
      <c r="F30" s="4">
        <v>4</v>
      </c>
    </row>
    <row r="31" spans="1:6" x14ac:dyDescent="0.2">
      <c r="A31" s="17"/>
      <c r="B31" s="4">
        <v>4</v>
      </c>
      <c r="C31" s="4">
        <v>4</v>
      </c>
      <c r="D31" s="4">
        <v>4</v>
      </c>
      <c r="E31" s="4">
        <v>4</v>
      </c>
      <c r="F31" s="4">
        <v>4</v>
      </c>
    </row>
    <row r="32" spans="1:6" x14ac:dyDescent="0.2">
      <c r="A32" s="17"/>
      <c r="B32" s="4">
        <v>5</v>
      </c>
      <c r="C32" s="4">
        <v>5</v>
      </c>
      <c r="D32" s="4">
        <v>5</v>
      </c>
      <c r="E32" s="4">
        <v>5</v>
      </c>
      <c r="F32" s="4">
        <v>5</v>
      </c>
    </row>
    <row r="33" spans="1:6" x14ac:dyDescent="0.2">
      <c r="A33" s="17"/>
      <c r="B33" s="4">
        <v>5</v>
      </c>
      <c r="C33" s="4">
        <v>5</v>
      </c>
      <c r="D33" s="4">
        <v>5</v>
      </c>
      <c r="E33" s="4">
        <v>5</v>
      </c>
      <c r="F33" s="4">
        <v>5</v>
      </c>
    </row>
    <row r="34" spans="1:6" x14ac:dyDescent="0.2">
      <c r="A34" s="17"/>
      <c r="B34" s="4">
        <v>5</v>
      </c>
      <c r="C34" s="4">
        <v>5</v>
      </c>
      <c r="D34" s="4">
        <v>5</v>
      </c>
      <c r="E34" s="4">
        <v>5</v>
      </c>
      <c r="F34" s="4">
        <v>5</v>
      </c>
    </row>
    <row r="35" spans="1:6" x14ac:dyDescent="0.2">
      <c r="A35" s="17"/>
      <c r="B35" s="4">
        <v>4</v>
      </c>
      <c r="C35" s="4">
        <v>4</v>
      </c>
      <c r="D35" s="4">
        <v>4</v>
      </c>
      <c r="E35" s="4">
        <v>3</v>
      </c>
      <c r="F35" s="4">
        <v>4</v>
      </c>
    </row>
    <row r="36" spans="1:6" x14ac:dyDescent="0.2">
      <c r="A36" s="17" t="s">
        <v>252</v>
      </c>
      <c r="B36" s="3">
        <v>3</v>
      </c>
      <c r="C36" s="3">
        <v>3</v>
      </c>
      <c r="D36" s="3">
        <v>3</v>
      </c>
      <c r="E36" s="3">
        <v>3</v>
      </c>
      <c r="F36" s="3">
        <v>3</v>
      </c>
    </row>
    <row r="37" spans="1:6" x14ac:dyDescent="0.2">
      <c r="A37" s="17"/>
      <c r="B37" s="3">
        <v>4</v>
      </c>
      <c r="C37" s="3">
        <v>4</v>
      </c>
      <c r="D37" s="3">
        <v>5</v>
      </c>
      <c r="E37" s="3">
        <v>4</v>
      </c>
      <c r="F37" s="3">
        <v>4</v>
      </c>
    </row>
    <row r="38" spans="1:6" x14ac:dyDescent="0.2">
      <c r="A38" s="17"/>
      <c r="B38" s="3">
        <v>5</v>
      </c>
      <c r="C38" s="3">
        <v>5</v>
      </c>
      <c r="D38" s="3">
        <v>4</v>
      </c>
      <c r="E38" s="3">
        <v>4</v>
      </c>
      <c r="F38" s="3">
        <v>4</v>
      </c>
    </row>
    <row r="39" spans="1:6" x14ac:dyDescent="0.2">
      <c r="A39" s="17"/>
      <c r="B39" s="3">
        <v>4</v>
      </c>
      <c r="C39" s="3">
        <v>5</v>
      </c>
      <c r="D39" s="3">
        <v>4</v>
      </c>
      <c r="E39" s="3">
        <v>4</v>
      </c>
      <c r="F39" s="3">
        <v>4</v>
      </c>
    </row>
    <row r="40" spans="1:6" x14ac:dyDescent="0.2">
      <c r="A40" s="17"/>
      <c r="B40" s="3">
        <v>4</v>
      </c>
      <c r="C40" s="3">
        <v>5</v>
      </c>
      <c r="D40" s="3">
        <v>5</v>
      </c>
      <c r="E40" s="3">
        <v>4</v>
      </c>
      <c r="F40" s="3">
        <v>5</v>
      </c>
    </row>
    <row r="41" spans="1:6" x14ac:dyDescent="0.2">
      <c r="A41" s="17"/>
      <c r="B41" s="3">
        <v>5</v>
      </c>
      <c r="C41" s="3">
        <v>5</v>
      </c>
      <c r="D41" s="3">
        <v>5</v>
      </c>
      <c r="E41" s="3">
        <v>4</v>
      </c>
      <c r="F41" s="3">
        <v>4</v>
      </c>
    </row>
    <row r="42" spans="1:6" x14ac:dyDescent="0.2">
      <c r="A42" s="17"/>
      <c r="B42" s="3">
        <v>3</v>
      </c>
      <c r="C42" s="3">
        <v>2</v>
      </c>
      <c r="D42" s="3">
        <v>2</v>
      </c>
      <c r="E42" s="3">
        <v>3</v>
      </c>
      <c r="F42" s="3">
        <v>3</v>
      </c>
    </row>
    <row r="43" spans="1:6" x14ac:dyDescent="0.2">
      <c r="A43" s="17"/>
      <c r="B43" s="3">
        <v>4</v>
      </c>
      <c r="C43" s="3">
        <v>4</v>
      </c>
      <c r="D43" s="3">
        <v>4</v>
      </c>
      <c r="E43" s="3">
        <v>4</v>
      </c>
      <c r="F43" s="3">
        <v>4</v>
      </c>
    </row>
    <row r="44" spans="1:6" x14ac:dyDescent="0.2">
      <c r="A44" s="17" t="s">
        <v>253</v>
      </c>
      <c r="B44" s="4">
        <v>5</v>
      </c>
      <c r="C44" s="4">
        <v>5</v>
      </c>
      <c r="D44" s="4">
        <v>5</v>
      </c>
      <c r="E44" s="4">
        <v>5</v>
      </c>
      <c r="F44" s="4">
        <v>5</v>
      </c>
    </row>
    <row r="45" spans="1:6" x14ac:dyDescent="0.2">
      <c r="A45" s="17"/>
      <c r="B45" s="4">
        <v>5</v>
      </c>
      <c r="C45" s="4">
        <v>5</v>
      </c>
      <c r="D45" s="4">
        <v>5</v>
      </c>
      <c r="E45" s="4">
        <v>5</v>
      </c>
      <c r="F45" s="4">
        <v>5</v>
      </c>
    </row>
    <row r="46" spans="1:6" x14ac:dyDescent="0.2">
      <c r="A46" s="17"/>
      <c r="B46" s="4">
        <v>4</v>
      </c>
      <c r="C46" s="4">
        <v>5</v>
      </c>
      <c r="D46" s="4">
        <v>5</v>
      </c>
      <c r="E46" s="4">
        <v>5</v>
      </c>
      <c r="F46" s="4">
        <v>5</v>
      </c>
    </row>
    <row r="47" spans="1:6" x14ac:dyDescent="0.2">
      <c r="A47" s="17"/>
      <c r="B47" s="4">
        <v>5</v>
      </c>
      <c r="C47" s="4">
        <v>5</v>
      </c>
      <c r="D47" s="4">
        <v>5</v>
      </c>
      <c r="E47" s="4">
        <v>5</v>
      </c>
      <c r="F47" s="4">
        <v>5</v>
      </c>
    </row>
    <row r="48" spans="1:6" x14ac:dyDescent="0.2">
      <c r="A48" s="17"/>
      <c r="B48" s="4">
        <v>5</v>
      </c>
      <c r="C48" s="4">
        <v>5</v>
      </c>
      <c r="D48" s="4">
        <v>3</v>
      </c>
      <c r="E48" s="4">
        <v>5</v>
      </c>
      <c r="F48" s="4">
        <v>4</v>
      </c>
    </row>
    <row r="49" spans="1:6" x14ac:dyDescent="0.2">
      <c r="A49" s="17"/>
      <c r="B49" s="4">
        <v>4</v>
      </c>
      <c r="C49" s="4">
        <v>5</v>
      </c>
      <c r="D49" s="4">
        <v>4</v>
      </c>
      <c r="E49" s="4">
        <v>4</v>
      </c>
      <c r="F49" s="4">
        <v>4</v>
      </c>
    </row>
    <row r="50" spans="1:6" x14ac:dyDescent="0.2">
      <c r="A50" s="17"/>
      <c r="B50" s="4">
        <v>4</v>
      </c>
      <c r="C50" s="4">
        <v>4</v>
      </c>
      <c r="D50" s="4">
        <v>3</v>
      </c>
      <c r="E50" s="4">
        <v>4</v>
      </c>
      <c r="F50" s="4">
        <v>4</v>
      </c>
    </row>
    <row r="51" spans="1:6" x14ac:dyDescent="0.2">
      <c r="A51" s="17"/>
      <c r="B51" s="4">
        <v>5</v>
      </c>
      <c r="C51" s="4">
        <v>5</v>
      </c>
      <c r="D51" s="4">
        <v>5</v>
      </c>
      <c r="E51" s="4">
        <v>5</v>
      </c>
      <c r="F51" s="4">
        <v>5</v>
      </c>
    </row>
    <row r="52" spans="1:6" x14ac:dyDescent="0.2">
      <c r="A52" s="17"/>
      <c r="B52" s="4">
        <v>5</v>
      </c>
      <c r="C52" s="4">
        <v>5</v>
      </c>
      <c r="D52" s="4">
        <v>5</v>
      </c>
      <c r="E52" s="4">
        <v>5</v>
      </c>
      <c r="F52" s="4">
        <v>5</v>
      </c>
    </row>
    <row r="53" spans="1:6" x14ac:dyDescent="0.2">
      <c r="A53" s="17" t="s">
        <v>254</v>
      </c>
      <c r="B53" s="3">
        <v>5</v>
      </c>
      <c r="C53" s="3">
        <v>5</v>
      </c>
      <c r="D53" s="3">
        <v>5</v>
      </c>
      <c r="E53" s="3">
        <v>5</v>
      </c>
      <c r="F53" s="3">
        <v>5</v>
      </c>
    </row>
    <row r="54" spans="1:6" x14ac:dyDescent="0.2">
      <c r="A54" s="17"/>
      <c r="B54" s="3">
        <v>5</v>
      </c>
      <c r="C54" s="3">
        <v>4</v>
      </c>
      <c r="D54" s="3">
        <v>4</v>
      </c>
      <c r="E54" s="3">
        <v>4</v>
      </c>
      <c r="F54" s="3">
        <v>4</v>
      </c>
    </row>
    <row r="55" spans="1:6" x14ac:dyDescent="0.2">
      <c r="A55" s="17"/>
      <c r="B55" s="3">
        <v>5</v>
      </c>
      <c r="C55" s="3">
        <v>5</v>
      </c>
      <c r="D55" s="3">
        <v>5</v>
      </c>
      <c r="E55" s="3">
        <v>5</v>
      </c>
      <c r="F55" s="3">
        <v>5</v>
      </c>
    </row>
    <row r="56" spans="1:6" x14ac:dyDescent="0.2">
      <c r="A56" s="17"/>
      <c r="B56" s="3">
        <v>4</v>
      </c>
      <c r="C56" s="3">
        <v>5</v>
      </c>
      <c r="D56" s="3">
        <v>5</v>
      </c>
      <c r="E56" s="3">
        <v>5</v>
      </c>
      <c r="F56" s="3">
        <v>4</v>
      </c>
    </row>
    <row r="57" spans="1:6" x14ac:dyDescent="0.2">
      <c r="A57" s="17"/>
      <c r="B57" s="3">
        <v>5</v>
      </c>
      <c r="C57" s="3">
        <v>5</v>
      </c>
      <c r="D57" s="3">
        <v>4</v>
      </c>
      <c r="E57" s="3">
        <v>4</v>
      </c>
      <c r="F57" s="3">
        <v>4</v>
      </c>
    </row>
    <row r="58" spans="1:6" x14ac:dyDescent="0.2">
      <c r="A58" s="17"/>
      <c r="B58" s="3">
        <v>5</v>
      </c>
      <c r="C58" s="3">
        <v>5</v>
      </c>
      <c r="D58" s="3">
        <v>5</v>
      </c>
      <c r="E58" s="3">
        <v>4</v>
      </c>
      <c r="F58" s="3">
        <v>5</v>
      </c>
    </row>
    <row r="59" spans="1:6" x14ac:dyDescent="0.2">
      <c r="A59" s="17"/>
      <c r="B59" s="3">
        <v>4</v>
      </c>
      <c r="C59" s="3">
        <v>5</v>
      </c>
      <c r="D59" s="3">
        <v>4</v>
      </c>
      <c r="E59" s="3">
        <v>4</v>
      </c>
      <c r="F59" s="3">
        <v>5</v>
      </c>
    </row>
    <row r="60" spans="1:6" x14ac:dyDescent="0.2">
      <c r="A60" s="17"/>
      <c r="B60" s="3">
        <v>5</v>
      </c>
      <c r="C60" s="3">
        <v>5</v>
      </c>
      <c r="D60" s="3">
        <v>5</v>
      </c>
      <c r="E60" s="3">
        <v>5</v>
      </c>
      <c r="F60" s="3">
        <v>5</v>
      </c>
    </row>
  </sheetData>
  <mergeCells count="7">
    <mergeCell ref="A53:A60"/>
    <mergeCell ref="A2:A9"/>
    <mergeCell ref="A10:A18"/>
    <mergeCell ref="A19:A26"/>
    <mergeCell ref="A27:A35"/>
    <mergeCell ref="A36:A43"/>
    <mergeCell ref="A44:A5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EA75-112A-604D-A285-B3848DF3E05C}">
  <dimension ref="A1:Q60"/>
  <sheetViews>
    <sheetView workbookViewId="0">
      <selection activeCell="K2" sqref="K2"/>
    </sheetView>
  </sheetViews>
  <sheetFormatPr baseColWidth="10" defaultRowHeight="16" x14ac:dyDescent="0.2"/>
  <cols>
    <col min="1" max="1" width="10.83203125" style="5"/>
  </cols>
  <sheetData>
    <row r="1" spans="1:11" x14ac:dyDescent="0.2">
      <c r="B1" t="s">
        <v>243</v>
      </c>
      <c r="C1" t="s">
        <v>244</v>
      </c>
      <c r="D1" t="s">
        <v>245</v>
      </c>
      <c r="E1" t="s">
        <v>246</v>
      </c>
      <c r="F1" t="s">
        <v>247</v>
      </c>
      <c r="G1" t="s">
        <v>284</v>
      </c>
      <c r="H1" t="s">
        <v>285</v>
      </c>
    </row>
    <row r="2" spans="1:11" x14ac:dyDescent="0.2">
      <c r="A2" s="17" t="s">
        <v>248</v>
      </c>
      <c r="B2" s="3">
        <v>5</v>
      </c>
      <c r="C2" s="3">
        <v>5</v>
      </c>
      <c r="D2" s="3">
        <v>5</v>
      </c>
      <c r="E2" s="3">
        <v>5</v>
      </c>
      <c r="F2" s="3">
        <v>5</v>
      </c>
      <c r="G2">
        <f t="shared" ref="G2:G9" si="0">$J$27+$J$28*B2+$J$29*C2+$J$30*D2+$J$31*E2</f>
        <v>4.9147184285974959</v>
      </c>
      <c r="H2">
        <f>(ABS(F2-G2))^2</f>
        <v>7.2729464208804119E-3</v>
      </c>
      <c r="J2" t="s">
        <v>283</v>
      </c>
      <c r="K2">
        <f>SQRT(AVERAGE(H2:H9))</f>
        <v>0.29520477656490218</v>
      </c>
    </row>
    <row r="3" spans="1:11" x14ac:dyDescent="0.2">
      <c r="A3" s="17"/>
      <c r="B3" s="3">
        <v>5</v>
      </c>
      <c r="C3" s="3">
        <v>5</v>
      </c>
      <c r="D3" s="3">
        <v>5</v>
      </c>
      <c r="E3" s="3">
        <v>5</v>
      </c>
      <c r="F3" s="3">
        <v>5</v>
      </c>
      <c r="G3">
        <f t="shared" si="0"/>
        <v>4.9147184285974959</v>
      </c>
      <c r="H3">
        <f t="shared" ref="H3:H9" si="1">(ABS(F3-G3))^2</f>
        <v>7.2729464208804119E-3</v>
      </c>
    </row>
    <row r="4" spans="1:11" x14ac:dyDescent="0.2">
      <c r="A4" s="17"/>
      <c r="B4" s="3">
        <v>5</v>
      </c>
      <c r="C4" s="3">
        <v>5</v>
      </c>
      <c r="D4" s="3">
        <v>5</v>
      </c>
      <c r="E4" s="3">
        <v>5</v>
      </c>
      <c r="F4" s="3">
        <v>5</v>
      </c>
      <c r="G4">
        <f t="shared" si="0"/>
        <v>4.9147184285974959</v>
      </c>
      <c r="H4">
        <f t="shared" si="1"/>
        <v>7.2729464208804119E-3</v>
      </c>
    </row>
    <row r="5" spans="1:11" x14ac:dyDescent="0.2">
      <c r="A5" s="17"/>
      <c r="B5" s="3">
        <v>5</v>
      </c>
      <c r="C5" s="3">
        <v>5</v>
      </c>
      <c r="D5" s="3">
        <v>5</v>
      </c>
      <c r="E5" s="3">
        <v>5</v>
      </c>
      <c r="F5" s="3">
        <v>5</v>
      </c>
      <c r="G5">
        <f t="shared" si="0"/>
        <v>4.9147184285974959</v>
      </c>
      <c r="H5">
        <f t="shared" si="1"/>
        <v>7.2729464208804119E-3</v>
      </c>
    </row>
    <row r="6" spans="1:11" x14ac:dyDescent="0.2">
      <c r="A6" s="17"/>
      <c r="B6" s="3">
        <v>5</v>
      </c>
      <c r="C6" s="3">
        <v>5</v>
      </c>
      <c r="D6" s="3">
        <v>4</v>
      </c>
      <c r="E6" s="3">
        <v>5</v>
      </c>
      <c r="F6" s="3">
        <v>4</v>
      </c>
      <c r="G6">
        <f t="shared" si="0"/>
        <v>4.5897591319132003</v>
      </c>
      <c r="H6">
        <f t="shared" si="1"/>
        <v>0.34781583367501157</v>
      </c>
    </row>
    <row r="7" spans="1:11" x14ac:dyDescent="0.2">
      <c r="A7" s="17"/>
      <c r="B7" s="3">
        <v>5</v>
      </c>
      <c r="C7" s="3">
        <v>5</v>
      </c>
      <c r="D7" s="3">
        <v>5</v>
      </c>
      <c r="E7" s="3">
        <v>5</v>
      </c>
      <c r="F7" s="3">
        <v>5</v>
      </c>
      <c r="G7">
        <f t="shared" si="0"/>
        <v>4.9147184285974959</v>
      </c>
      <c r="H7">
        <f t="shared" si="1"/>
        <v>7.2729464208804119E-3</v>
      </c>
    </row>
    <row r="8" spans="1:11" x14ac:dyDescent="0.2">
      <c r="A8" s="17"/>
      <c r="B8" s="3">
        <v>5</v>
      </c>
      <c r="C8" s="3">
        <v>5</v>
      </c>
      <c r="D8" s="3">
        <v>5</v>
      </c>
      <c r="E8" s="3">
        <v>5</v>
      </c>
      <c r="F8" s="3">
        <v>5</v>
      </c>
      <c r="G8">
        <f t="shared" si="0"/>
        <v>4.9147184285974959</v>
      </c>
      <c r="H8">
        <f t="shared" si="1"/>
        <v>7.2729464208804119E-3</v>
      </c>
    </row>
    <row r="9" spans="1:11" x14ac:dyDescent="0.2">
      <c r="A9" s="17"/>
      <c r="B9" s="3">
        <v>4</v>
      </c>
      <c r="C9" s="3">
        <v>5</v>
      </c>
      <c r="D9" s="3">
        <v>4</v>
      </c>
      <c r="E9" s="3">
        <v>5</v>
      </c>
      <c r="F9" s="3">
        <v>5</v>
      </c>
      <c r="G9">
        <f t="shared" si="0"/>
        <v>4.4470864727160526</v>
      </c>
      <c r="H9">
        <f t="shared" si="1"/>
        <v>0.3057133686535764</v>
      </c>
    </row>
    <row r="10" spans="1:11" x14ac:dyDescent="0.2">
      <c r="A10" s="17" t="s">
        <v>249</v>
      </c>
      <c r="B10" s="4">
        <v>4</v>
      </c>
      <c r="C10" s="4">
        <v>4</v>
      </c>
      <c r="D10" s="4">
        <v>3</v>
      </c>
      <c r="E10" s="4">
        <v>4</v>
      </c>
      <c r="F10" s="4">
        <v>4</v>
      </c>
    </row>
    <row r="11" spans="1:11" x14ac:dyDescent="0.2">
      <c r="A11" s="17"/>
      <c r="B11" s="4">
        <v>5</v>
      </c>
      <c r="C11" s="4">
        <v>5</v>
      </c>
      <c r="D11" s="4">
        <v>5</v>
      </c>
      <c r="E11" s="4">
        <v>5</v>
      </c>
      <c r="F11" s="4">
        <v>5</v>
      </c>
      <c r="I11" t="s">
        <v>255</v>
      </c>
    </row>
    <row r="12" spans="1:11" ht="17" thickBot="1" x14ac:dyDescent="0.25">
      <c r="A12" s="17"/>
      <c r="B12" s="4">
        <v>5</v>
      </c>
      <c r="C12" s="4">
        <v>5</v>
      </c>
      <c r="D12" s="4">
        <v>4</v>
      </c>
      <c r="E12" s="4">
        <v>5</v>
      </c>
      <c r="F12" s="4">
        <v>4</v>
      </c>
    </row>
    <row r="13" spans="1:11" x14ac:dyDescent="0.2">
      <c r="A13" s="17"/>
      <c r="B13" s="4">
        <v>5</v>
      </c>
      <c r="C13" s="4">
        <v>5</v>
      </c>
      <c r="D13" s="4">
        <v>5</v>
      </c>
      <c r="E13" s="4">
        <v>4</v>
      </c>
      <c r="F13" s="4">
        <v>5</v>
      </c>
      <c r="I13" s="8" t="s">
        <v>256</v>
      </c>
      <c r="J13" s="8"/>
    </row>
    <row r="14" spans="1:11" x14ac:dyDescent="0.2">
      <c r="A14" s="17"/>
      <c r="B14" s="4">
        <v>5</v>
      </c>
      <c r="C14" s="4">
        <v>5</v>
      </c>
      <c r="D14" s="4">
        <v>5</v>
      </c>
      <c r="E14" s="4">
        <v>5</v>
      </c>
      <c r="F14" s="4">
        <v>5</v>
      </c>
      <c r="I14" t="s">
        <v>257</v>
      </c>
      <c r="J14">
        <v>0.88453152614120811</v>
      </c>
    </row>
    <row r="15" spans="1:11" x14ac:dyDescent="0.2">
      <c r="A15" s="17"/>
      <c r="B15" s="4">
        <v>4</v>
      </c>
      <c r="C15" s="4">
        <v>2</v>
      </c>
      <c r="D15" s="4">
        <v>2</v>
      </c>
      <c r="E15" s="4">
        <v>4</v>
      </c>
      <c r="F15" s="4">
        <v>3</v>
      </c>
      <c r="I15" t="s">
        <v>258</v>
      </c>
      <c r="J15">
        <v>0.78239602073769465</v>
      </c>
    </row>
    <row r="16" spans="1:11" x14ac:dyDescent="0.2">
      <c r="A16" s="17"/>
      <c r="B16" s="4">
        <v>4</v>
      </c>
      <c r="C16" s="4">
        <v>4</v>
      </c>
      <c r="D16" s="4">
        <v>4</v>
      </c>
      <c r="E16" s="4">
        <v>3</v>
      </c>
      <c r="F16" s="4">
        <v>4</v>
      </c>
      <c r="I16" t="s">
        <v>259</v>
      </c>
      <c r="J16">
        <v>0.76347393558445065</v>
      </c>
    </row>
    <row r="17" spans="1:17" x14ac:dyDescent="0.2">
      <c r="A17" s="17"/>
      <c r="B17" s="4">
        <v>5</v>
      </c>
      <c r="C17" s="4">
        <v>5</v>
      </c>
      <c r="D17" s="4">
        <v>5</v>
      </c>
      <c r="E17" s="4">
        <v>5</v>
      </c>
      <c r="F17" s="4">
        <v>5</v>
      </c>
      <c r="I17" t="s">
        <v>260</v>
      </c>
      <c r="J17">
        <v>0.31029022142993062</v>
      </c>
    </row>
    <row r="18" spans="1:17" ht="17" thickBot="1" x14ac:dyDescent="0.25">
      <c r="A18" s="17"/>
      <c r="B18" s="4">
        <v>5</v>
      </c>
      <c r="C18" s="4">
        <v>5</v>
      </c>
      <c r="D18" s="4">
        <v>5</v>
      </c>
      <c r="E18" s="4">
        <v>5</v>
      </c>
      <c r="F18" s="4">
        <v>5</v>
      </c>
      <c r="I18" s="6" t="s">
        <v>261</v>
      </c>
      <c r="J18" s="6">
        <v>51</v>
      </c>
    </row>
    <row r="19" spans="1:17" x14ac:dyDescent="0.2">
      <c r="A19" s="17" t="s">
        <v>250</v>
      </c>
      <c r="B19" s="3">
        <v>5</v>
      </c>
      <c r="C19" s="3">
        <v>4</v>
      </c>
      <c r="D19" s="3">
        <v>4</v>
      </c>
      <c r="E19" s="3">
        <v>4</v>
      </c>
      <c r="F19" s="3">
        <v>4</v>
      </c>
    </row>
    <row r="20" spans="1:17" ht="17" thickBot="1" x14ac:dyDescent="0.25">
      <c r="A20" s="17"/>
      <c r="B20" s="3">
        <v>5</v>
      </c>
      <c r="C20" s="3">
        <v>5</v>
      </c>
      <c r="D20" s="3">
        <v>5</v>
      </c>
      <c r="E20" s="3">
        <v>5</v>
      </c>
      <c r="F20" s="3">
        <v>5</v>
      </c>
      <c r="I20" t="s">
        <v>262</v>
      </c>
    </row>
    <row r="21" spans="1:17" x14ac:dyDescent="0.2">
      <c r="A21" s="17"/>
      <c r="B21" s="3">
        <v>4</v>
      </c>
      <c r="C21" s="3">
        <v>3</v>
      </c>
      <c r="D21" s="3">
        <v>3</v>
      </c>
      <c r="E21" s="3">
        <v>3</v>
      </c>
      <c r="F21" s="3">
        <v>3</v>
      </c>
      <c r="I21" s="7"/>
      <c r="J21" s="7" t="s">
        <v>267</v>
      </c>
      <c r="K21" s="7" t="s">
        <v>268</v>
      </c>
      <c r="L21" s="7" t="s">
        <v>269</v>
      </c>
      <c r="M21" s="7" t="s">
        <v>270</v>
      </c>
      <c r="N21" s="7" t="s">
        <v>271</v>
      </c>
    </row>
    <row r="22" spans="1:17" x14ac:dyDescent="0.2">
      <c r="A22" s="17"/>
      <c r="B22" s="3">
        <v>5</v>
      </c>
      <c r="C22" s="3">
        <v>5</v>
      </c>
      <c r="D22" s="3">
        <v>5</v>
      </c>
      <c r="E22" s="3">
        <v>5</v>
      </c>
      <c r="F22" s="3">
        <v>5</v>
      </c>
      <c r="I22" t="s">
        <v>263</v>
      </c>
      <c r="J22">
        <v>4</v>
      </c>
      <c r="K22">
        <v>15.92406018677897</v>
      </c>
      <c r="L22">
        <v>3.9810150466947425</v>
      </c>
      <c r="M22">
        <v>41.348298266354824</v>
      </c>
      <c r="N22">
        <v>1.1091210176977099E-14</v>
      </c>
    </row>
    <row r="23" spans="1:17" x14ac:dyDescent="0.2">
      <c r="A23" s="17"/>
      <c r="B23" s="3">
        <v>4</v>
      </c>
      <c r="C23" s="3">
        <v>4</v>
      </c>
      <c r="D23" s="3">
        <v>4</v>
      </c>
      <c r="E23" s="3">
        <v>4</v>
      </c>
      <c r="F23" s="3">
        <v>4</v>
      </c>
      <c r="I23" t="s">
        <v>264</v>
      </c>
      <c r="J23">
        <v>46</v>
      </c>
      <c r="K23">
        <v>4.4288809896916277</v>
      </c>
      <c r="L23">
        <v>9.6280021515035383E-2</v>
      </c>
    </row>
    <row r="24" spans="1:17" ht="17" thickBot="1" x14ac:dyDescent="0.25">
      <c r="A24" s="17"/>
      <c r="B24" s="3">
        <v>4</v>
      </c>
      <c r="C24" s="3">
        <v>4</v>
      </c>
      <c r="D24" s="3">
        <v>4</v>
      </c>
      <c r="E24" s="3">
        <v>4</v>
      </c>
      <c r="F24" s="3">
        <v>4</v>
      </c>
      <c r="I24" s="6" t="s">
        <v>265</v>
      </c>
      <c r="J24" s="6">
        <v>50</v>
      </c>
      <c r="K24" s="6">
        <v>20.352941176470598</v>
      </c>
      <c r="L24" s="6"/>
      <c r="M24" s="6"/>
      <c r="N24" s="6"/>
    </row>
    <row r="25" spans="1:17" ht="17" thickBot="1" x14ac:dyDescent="0.25">
      <c r="A25" s="17"/>
      <c r="B25" s="3">
        <v>5</v>
      </c>
      <c r="C25" s="3">
        <v>5</v>
      </c>
      <c r="D25" s="3">
        <v>5</v>
      </c>
      <c r="E25" s="3">
        <v>5</v>
      </c>
      <c r="F25" s="3">
        <v>5</v>
      </c>
    </row>
    <row r="26" spans="1:17" x14ac:dyDescent="0.2">
      <c r="A26" s="17"/>
      <c r="B26" s="3">
        <v>5</v>
      </c>
      <c r="C26" s="3">
        <v>5</v>
      </c>
      <c r="D26" s="3">
        <v>5</v>
      </c>
      <c r="E26" s="3">
        <v>5</v>
      </c>
      <c r="F26" s="3">
        <v>5</v>
      </c>
      <c r="I26" s="7"/>
      <c r="J26" s="7" t="s">
        <v>272</v>
      </c>
      <c r="K26" s="7" t="s">
        <v>260</v>
      </c>
      <c r="L26" s="7" t="s">
        <v>273</v>
      </c>
      <c r="M26" s="7" t="s">
        <v>274</v>
      </c>
      <c r="N26" s="7" t="s">
        <v>275</v>
      </c>
      <c r="O26" s="7" t="s">
        <v>276</v>
      </c>
      <c r="P26" s="7" t="s">
        <v>277</v>
      </c>
      <c r="Q26" s="7" t="s">
        <v>278</v>
      </c>
    </row>
    <row r="27" spans="1:17" x14ac:dyDescent="0.2">
      <c r="A27" s="17" t="s">
        <v>251</v>
      </c>
      <c r="B27" s="4">
        <v>4</v>
      </c>
      <c r="C27" s="4">
        <v>4</v>
      </c>
      <c r="D27" s="4">
        <v>4</v>
      </c>
      <c r="E27" s="4">
        <v>4</v>
      </c>
      <c r="F27" s="4">
        <v>4</v>
      </c>
      <c r="I27" t="s">
        <v>266</v>
      </c>
      <c r="J27">
        <v>0.5454651533412751</v>
      </c>
      <c r="K27">
        <v>0.35302885711774679</v>
      </c>
      <c r="L27">
        <v>1.5451007540704935</v>
      </c>
      <c r="M27">
        <v>0.12917450586969709</v>
      </c>
      <c r="N27">
        <v>-0.16514507944259368</v>
      </c>
      <c r="O27">
        <v>1.2560753861251439</v>
      </c>
      <c r="P27">
        <v>-0.16514507944259368</v>
      </c>
      <c r="Q27">
        <v>1.2560753861251439</v>
      </c>
    </row>
    <row r="28" spans="1:17" x14ac:dyDescent="0.2">
      <c r="A28" s="17"/>
      <c r="B28" s="4">
        <v>5</v>
      </c>
      <c r="C28" s="4">
        <v>5</v>
      </c>
      <c r="D28" s="4">
        <v>4</v>
      </c>
      <c r="E28" s="4">
        <v>4</v>
      </c>
      <c r="F28" s="4">
        <v>5</v>
      </c>
      <c r="I28" t="s">
        <v>279</v>
      </c>
      <c r="J28">
        <v>0.14267265919714803</v>
      </c>
      <c r="K28">
        <v>0.11757226170193683</v>
      </c>
      <c r="L28">
        <v>1.2134891098620222</v>
      </c>
      <c r="M28">
        <v>0.23113714554161757</v>
      </c>
      <c r="N28">
        <v>-9.3988028937684057E-2</v>
      </c>
      <c r="O28">
        <v>0.3793333473319801</v>
      </c>
      <c r="P28">
        <v>-9.3988028937684057E-2</v>
      </c>
      <c r="Q28">
        <v>0.3793333473319801</v>
      </c>
    </row>
    <row r="29" spans="1:17" x14ac:dyDescent="0.2">
      <c r="A29" s="17"/>
      <c r="B29" s="4">
        <v>4</v>
      </c>
      <c r="C29" s="4">
        <v>4</v>
      </c>
      <c r="D29" s="4">
        <v>4</v>
      </c>
      <c r="E29" s="4">
        <v>4</v>
      </c>
      <c r="F29" s="4">
        <v>4</v>
      </c>
      <c r="I29" t="s">
        <v>280</v>
      </c>
      <c r="J29">
        <v>0.19023778254444454</v>
      </c>
      <c r="K29">
        <v>0.11104738942678194</v>
      </c>
      <c r="L29">
        <v>1.7131225103664058</v>
      </c>
      <c r="M29">
        <v>9.3423244439456835E-2</v>
      </c>
      <c r="N29">
        <v>-3.3289018904216865E-2</v>
      </c>
      <c r="O29">
        <v>0.41376458399310595</v>
      </c>
      <c r="P29">
        <v>-3.3289018904216865E-2</v>
      </c>
      <c r="Q29">
        <v>0.41376458399310595</v>
      </c>
    </row>
    <row r="30" spans="1:17" x14ac:dyDescent="0.2">
      <c r="A30" s="17"/>
      <c r="B30" s="4">
        <v>4</v>
      </c>
      <c r="C30" s="4">
        <v>5</v>
      </c>
      <c r="D30" s="4">
        <v>5</v>
      </c>
      <c r="E30" s="4">
        <v>4</v>
      </c>
      <c r="F30" s="4">
        <v>4</v>
      </c>
      <c r="I30" t="s">
        <v>281</v>
      </c>
      <c r="J30">
        <v>0.32495929668429535</v>
      </c>
      <c r="K30">
        <v>9.355283471395115E-2</v>
      </c>
      <c r="L30">
        <v>3.4735376825073963</v>
      </c>
      <c r="M30">
        <v>1.1301440143169155E-3</v>
      </c>
      <c r="N30">
        <v>0.13664720742214623</v>
      </c>
      <c r="O30">
        <v>0.5132713859464445</v>
      </c>
      <c r="P30">
        <v>0.13664720742214623</v>
      </c>
      <c r="Q30">
        <v>0.5132713859464445</v>
      </c>
    </row>
    <row r="31" spans="1:17" ht="17" thickBot="1" x14ac:dyDescent="0.25">
      <c r="A31" s="17"/>
      <c r="B31" s="4">
        <v>4</v>
      </c>
      <c r="C31" s="4">
        <v>4</v>
      </c>
      <c r="D31" s="4">
        <v>4</v>
      </c>
      <c r="E31" s="4">
        <v>4</v>
      </c>
      <c r="F31" s="4">
        <v>4</v>
      </c>
      <c r="I31" s="6" t="s">
        <v>282</v>
      </c>
      <c r="J31" s="6">
        <v>0.21598091662535626</v>
      </c>
      <c r="K31" s="6">
        <v>0.10450185404206697</v>
      </c>
      <c r="L31" s="6">
        <v>2.0667663612782761</v>
      </c>
      <c r="M31" s="6">
        <v>4.4411365142337844E-2</v>
      </c>
      <c r="N31" s="6">
        <v>5.6295945451590263E-3</v>
      </c>
      <c r="O31" s="6">
        <v>0.42633223870555348</v>
      </c>
      <c r="P31" s="6">
        <v>5.6295945451590263E-3</v>
      </c>
      <c r="Q31" s="6">
        <v>0.42633223870555348</v>
      </c>
    </row>
    <row r="32" spans="1:17" x14ac:dyDescent="0.2">
      <c r="A32" s="17"/>
      <c r="B32" s="4">
        <v>5</v>
      </c>
      <c r="C32" s="4">
        <v>5</v>
      </c>
      <c r="D32" s="4">
        <v>5</v>
      </c>
      <c r="E32" s="4">
        <v>5</v>
      </c>
      <c r="F32" s="4">
        <v>5</v>
      </c>
    </row>
    <row r="33" spans="1:6" x14ac:dyDescent="0.2">
      <c r="A33" s="17"/>
      <c r="B33" s="4">
        <v>5</v>
      </c>
      <c r="C33" s="4">
        <v>5</v>
      </c>
      <c r="D33" s="4">
        <v>5</v>
      </c>
      <c r="E33" s="4">
        <v>5</v>
      </c>
      <c r="F33" s="4">
        <v>5</v>
      </c>
    </row>
    <row r="34" spans="1:6" x14ac:dyDescent="0.2">
      <c r="A34" s="17"/>
      <c r="B34" s="4">
        <v>5</v>
      </c>
      <c r="C34" s="4">
        <v>5</v>
      </c>
      <c r="D34" s="4">
        <v>5</v>
      </c>
      <c r="E34" s="4">
        <v>5</v>
      </c>
      <c r="F34" s="4">
        <v>5</v>
      </c>
    </row>
    <row r="35" spans="1:6" x14ac:dyDescent="0.2">
      <c r="A35" s="17"/>
      <c r="B35" s="4">
        <v>4</v>
      </c>
      <c r="C35" s="4">
        <v>4</v>
      </c>
      <c r="D35" s="4">
        <v>4</v>
      </c>
      <c r="E35" s="4">
        <v>3</v>
      </c>
      <c r="F35" s="4">
        <v>4</v>
      </c>
    </row>
    <row r="36" spans="1:6" x14ac:dyDescent="0.2">
      <c r="A36" s="17" t="s">
        <v>252</v>
      </c>
      <c r="B36" s="3">
        <v>3</v>
      </c>
      <c r="C36" s="3">
        <v>3</v>
      </c>
      <c r="D36" s="3">
        <v>3</v>
      </c>
      <c r="E36" s="3">
        <v>3</v>
      </c>
      <c r="F36" s="3">
        <v>3</v>
      </c>
    </row>
    <row r="37" spans="1:6" x14ac:dyDescent="0.2">
      <c r="A37" s="17"/>
      <c r="B37" s="3">
        <v>4</v>
      </c>
      <c r="C37" s="3">
        <v>4</v>
      </c>
      <c r="D37" s="3">
        <v>5</v>
      </c>
      <c r="E37" s="3">
        <v>4</v>
      </c>
      <c r="F37" s="3">
        <v>4</v>
      </c>
    </row>
    <row r="38" spans="1:6" x14ac:dyDescent="0.2">
      <c r="A38" s="17"/>
      <c r="B38" s="3">
        <v>5</v>
      </c>
      <c r="C38" s="3">
        <v>5</v>
      </c>
      <c r="D38" s="3">
        <v>4</v>
      </c>
      <c r="E38" s="3">
        <v>4</v>
      </c>
      <c r="F38" s="3">
        <v>4</v>
      </c>
    </row>
    <row r="39" spans="1:6" x14ac:dyDescent="0.2">
      <c r="A39" s="17"/>
      <c r="B39" s="3">
        <v>4</v>
      </c>
      <c r="C39" s="3">
        <v>5</v>
      </c>
      <c r="D39" s="3">
        <v>4</v>
      </c>
      <c r="E39" s="3">
        <v>4</v>
      </c>
      <c r="F39" s="3">
        <v>4</v>
      </c>
    </row>
    <row r="40" spans="1:6" x14ac:dyDescent="0.2">
      <c r="A40" s="17"/>
      <c r="B40" s="3">
        <v>4</v>
      </c>
      <c r="C40" s="3">
        <v>5</v>
      </c>
      <c r="D40" s="3">
        <v>5</v>
      </c>
      <c r="E40" s="3">
        <v>4</v>
      </c>
      <c r="F40" s="3">
        <v>5</v>
      </c>
    </row>
    <row r="41" spans="1:6" x14ac:dyDescent="0.2">
      <c r="A41" s="17"/>
      <c r="B41" s="3">
        <v>5</v>
      </c>
      <c r="C41" s="3">
        <v>5</v>
      </c>
      <c r="D41" s="3">
        <v>5</v>
      </c>
      <c r="E41" s="3">
        <v>4</v>
      </c>
      <c r="F41" s="3">
        <v>4</v>
      </c>
    </row>
    <row r="42" spans="1:6" x14ac:dyDescent="0.2">
      <c r="A42" s="17"/>
      <c r="B42" s="3">
        <v>3</v>
      </c>
      <c r="C42" s="3">
        <v>2</v>
      </c>
      <c r="D42" s="3">
        <v>2</v>
      </c>
      <c r="E42" s="3">
        <v>3</v>
      </c>
      <c r="F42" s="3">
        <v>3</v>
      </c>
    </row>
    <row r="43" spans="1:6" x14ac:dyDescent="0.2">
      <c r="A43" s="17"/>
      <c r="B43" s="3">
        <v>4</v>
      </c>
      <c r="C43" s="3">
        <v>4</v>
      </c>
      <c r="D43" s="3">
        <v>4</v>
      </c>
      <c r="E43" s="3">
        <v>4</v>
      </c>
      <c r="F43" s="3">
        <v>4</v>
      </c>
    </row>
    <row r="44" spans="1:6" x14ac:dyDescent="0.2">
      <c r="A44" s="17" t="s">
        <v>253</v>
      </c>
      <c r="B44" s="4">
        <v>5</v>
      </c>
      <c r="C44" s="4">
        <v>5</v>
      </c>
      <c r="D44" s="4">
        <v>5</v>
      </c>
      <c r="E44" s="4">
        <v>5</v>
      </c>
      <c r="F44" s="4">
        <v>5</v>
      </c>
    </row>
    <row r="45" spans="1:6" x14ac:dyDescent="0.2">
      <c r="A45" s="17"/>
      <c r="B45" s="4">
        <v>5</v>
      </c>
      <c r="C45" s="4">
        <v>5</v>
      </c>
      <c r="D45" s="4">
        <v>5</v>
      </c>
      <c r="E45" s="4">
        <v>5</v>
      </c>
      <c r="F45" s="4">
        <v>5</v>
      </c>
    </row>
    <row r="46" spans="1:6" x14ac:dyDescent="0.2">
      <c r="A46" s="17"/>
      <c r="B46" s="4">
        <v>4</v>
      </c>
      <c r="C46" s="4">
        <v>5</v>
      </c>
      <c r="D46" s="4">
        <v>5</v>
      </c>
      <c r="E46" s="4">
        <v>5</v>
      </c>
      <c r="F46" s="4">
        <v>5</v>
      </c>
    </row>
    <row r="47" spans="1:6" x14ac:dyDescent="0.2">
      <c r="A47" s="17"/>
      <c r="B47" s="4">
        <v>5</v>
      </c>
      <c r="C47" s="4">
        <v>5</v>
      </c>
      <c r="D47" s="4">
        <v>5</v>
      </c>
      <c r="E47" s="4">
        <v>5</v>
      </c>
      <c r="F47" s="4">
        <v>5</v>
      </c>
    </row>
    <row r="48" spans="1:6" x14ac:dyDescent="0.2">
      <c r="A48" s="17"/>
      <c r="B48" s="4">
        <v>5</v>
      </c>
      <c r="C48" s="4">
        <v>5</v>
      </c>
      <c r="D48" s="4">
        <v>3</v>
      </c>
      <c r="E48" s="4">
        <v>5</v>
      </c>
      <c r="F48" s="4">
        <v>4</v>
      </c>
    </row>
    <row r="49" spans="1:6" x14ac:dyDescent="0.2">
      <c r="A49" s="17"/>
      <c r="B49" s="4">
        <v>4</v>
      </c>
      <c r="C49" s="4">
        <v>5</v>
      </c>
      <c r="D49" s="4">
        <v>4</v>
      </c>
      <c r="E49" s="4">
        <v>4</v>
      </c>
      <c r="F49" s="4">
        <v>4</v>
      </c>
    </row>
    <row r="50" spans="1:6" x14ac:dyDescent="0.2">
      <c r="A50" s="17"/>
      <c r="B50" s="4">
        <v>4</v>
      </c>
      <c r="C50" s="4">
        <v>4</v>
      </c>
      <c r="D50" s="4">
        <v>3</v>
      </c>
      <c r="E50" s="4">
        <v>4</v>
      </c>
      <c r="F50" s="4">
        <v>4</v>
      </c>
    </row>
    <row r="51" spans="1:6" x14ac:dyDescent="0.2">
      <c r="A51" s="17"/>
      <c r="B51" s="4">
        <v>5</v>
      </c>
      <c r="C51" s="4">
        <v>5</v>
      </c>
      <c r="D51" s="4">
        <v>5</v>
      </c>
      <c r="E51" s="4">
        <v>5</v>
      </c>
      <c r="F51" s="4">
        <v>5</v>
      </c>
    </row>
    <row r="52" spans="1:6" x14ac:dyDescent="0.2">
      <c r="A52" s="17"/>
      <c r="B52" s="4">
        <v>5</v>
      </c>
      <c r="C52" s="4">
        <v>5</v>
      </c>
      <c r="D52" s="4">
        <v>5</v>
      </c>
      <c r="E52" s="4">
        <v>5</v>
      </c>
      <c r="F52" s="4">
        <v>5</v>
      </c>
    </row>
    <row r="53" spans="1:6" x14ac:dyDescent="0.2">
      <c r="A53" s="17" t="s">
        <v>254</v>
      </c>
      <c r="B53" s="3">
        <v>5</v>
      </c>
      <c r="C53" s="3">
        <v>5</v>
      </c>
      <c r="D53" s="3">
        <v>5</v>
      </c>
      <c r="E53" s="3">
        <v>5</v>
      </c>
      <c r="F53" s="3">
        <v>5</v>
      </c>
    </row>
    <row r="54" spans="1:6" x14ac:dyDescent="0.2">
      <c r="A54" s="17"/>
      <c r="B54" s="3">
        <v>5</v>
      </c>
      <c r="C54" s="3">
        <v>4</v>
      </c>
      <c r="D54" s="3">
        <v>4</v>
      </c>
      <c r="E54" s="3">
        <v>4</v>
      </c>
      <c r="F54" s="3">
        <v>4</v>
      </c>
    </row>
    <row r="55" spans="1:6" x14ac:dyDescent="0.2">
      <c r="A55" s="17"/>
      <c r="B55" s="3">
        <v>5</v>
      </c>
      <c r="C55" s="3">
        <v>5</v>
      </c>
      <c r="D55" s="3">
        <v>5</v>
      </c>
      <c r="E55" s="3">
        <v>5</v>
      </c>
      <c r="F55" s="3">
        <v>5</v>
      </c>
    </row>
    <row r="56" spans="1:6" x14ac:dyDescent="0.2">
      <c r="A56" s="17"/>
      <c r="B56" s="3">
        <v>4</v>
      </c>
      <c r="C56" s="3">
        <v>5</v>
      </c>
      <c r="D56" s="3">
        <v>5</v>
      </c>
      <c r="E56" s="3">
        <v>5</v>
      </c>
      <c r="F56" s="3">
        <v>4</v>
      </c>
    </row>
    <row r="57" spans="1:6" x14ac:dyDescent="0.2">
      <c r="A57" s="17"/>
      <c r="B57" s="3">
        <v>5</v>
      </c>
      <c r="C57" s="3">
        <v>5</v>
      </c>
      <c r="D57" s="3">
        <v>4</v>
      </c>
      <c r="E57" s="3">
        <v>4</v>
      </c>
      <c r="F57" s="3">
        <v>4</v>
      </c>
    </row>
    <row r="58" spans="1:6" x14ac:dyDescent="0.2">
      <c r="A58" s="17"/>
      <c r="B58" s="3">
        <v>5</v>
      </c>
      <c r="C58" s="3">
        <v>5</v>
      </c>
      <c r="D58" s="3">
        <v>5</v>
      </c>
      <c r="E58" s="3">
        <v>4</v>
      </c>
      <c r="F58" s="3">
        <v>5</v>
      </c>
    </row>
    <row r="59" spans="1:6" x14ac:dyDescent="0.2">
      <c r="A59" s="17"/>
      <c r="B59" s="3">
        <v>4</v>
      </c>
      <c r="C59" s="3">
        <v>5</v>
      </c>
      <c r="D59" s="3">
        <v>4</v>
      </c>
      <c r="E59" s="3">
        <v>4</v>
      </c>
      <c r="F59" s="3">
        <v>5</v>
      </c>
    </row>
    <row r="60" spans="1:6" x14ac:dyDescent="0.2">
      <c r="A60" s="17"/>
      <c r="B60" s="3">
        <v>5</v>
      </c>
      <c r="C60" s="3">
        <v>5</v>
      </c>
      <c r="D60" s="3">
        <v>5</v>
      </c>
      <c r="E60" s="3">
        <v>5</v>
      </c>
      <c r="F60" s="3">
        <v>5</v>
      </c>
    </row>
  </sheetData>
  <mergeCells count="7">
    <mergeCell ref="A53:A60"/>
    <mergeCell ref="A2:A9"/>
    <mergeCell ref="A10:A18"/>
    <mergeCell ref="A19:A26"/>
    <mergeCell ref="A27:A35"/>
    <mergeCell ref="A36:A43"/>
    <mergeCell ref="A44:A5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F9CA3-B0F8-EF49-A9D4-FE42C181FFD2}">
  <dimension ref="A1:Q60"/>
  <sheetViews>
    <sheetView workbookViewId="0">
      <selection activeCell="G36" sqref="G36"/>
    </sheetView>
  </sheetViews>
  <sheetFormatPr baseColWidth="10" defaultRowHeight="16" x14ac:dyDescent="0.2"/>
  <cols>
    <col min="1" max="1" width="10.83203125" style="5"/>
  </cols>
  <sheetData>
    <row r="1" spans="1:11" x14ac:dyDescent="0.2">
      <c r="B1" t="s">
        <v>243</v>
      </c>
      <c r="C1" t="s">
        <v>244</v>
      </c>
      <c r="D1" t="s">
        <v>245</v>
      </c>
      <c r="E1" t="s">
        <v>246</v>
      </c>
      <c r="F1" t="s">
        <v>247</v>
      </c>
      <c r="G1" t="s">
        <v>284</v>
      </c>
      <c r="H1" t="s">
        <v>285</v>
      </c>
    </row>
    <row r="2" spans="1:11" x14ac:dyDescent="0.2">
      <c r="A2" s="17" t="s">
        <v>249</v>
      </c>
      <c r="B2" s="4">
        <v>4</v>
      </c>
      <c r="C2" s="4">
        <v>4</v>
      </c>
      <c r="D2" s="4">
        <v>3</v>
      </c>
      <c r="E2" s="4">
        <v>4</v>
      </c>
      <c r="F2" s="4">
        <v>4</v>
      </c>
      <c r="G2">
        <f t="shared" ref="G2:G10" si="0">$J$27+$J$28*B2+$J$29*C2+$J$30*D2+$J$31*E2</f>
        <v>3.751808770501337</v>
      </c>
      <c r="H2">
        <f>(ABS(F2-G2))^2</f>
        <v>6.1598886400058013E-2</v>
      </c>
      <c r="J2" t="s">
        <v>283</v>
      </c>
      <c r="K2">
        <f>SQRT(AVERAGE(H2:H10))</f>
        <v>0.28522757917938391</v>
      </c>
    </row>
    <row r="3" spans="1:11" x14ac:dyDescent="0.2">
      <c r="A3" s="17"/>
      <c r="B3" s="4">
        <v>5</v>
      </c>
      <c r="C3" s="4">
        <v>5</v>
      </c>
      <c r="D3" s="4">
        <v>5</v>
      </c>
      <c r="E3" s="4">
        <v>5</v>
      </c>
      <c r="F3" s="4">
        <v>5</v>
      </c>
      <c r="G3">
        <f t="shared" si="0"/>
        <v>4.92737582877748</v>
      </c>
      <c r="H3">
        <f t="shared" ref="H3:H10" si="1">(ABS(F3-G3))^2</f>
        <v>5.2742702457578968E-3</v>
      </c>
    </row>
    <row r="4" spans="1:11" x14ac:dyDescent="0.2">
      <c r="A4" s="17"/>
      <c r="B4" s="4">
        <v>5</v>
      </c>
      <c r="C4" s="4">
        <v>5</v>
      </c>
      <c r="D4" s="4">
        <v>4</v>
      </c>
      <c r="E4" s="4">
        <v>5</v>
      </c>
      <c r="F4" s="4">
        <v>4</v>
      </c>
      <c r="G4">
        <f t="shared" si="0"/>
        <v>4.6379085727579383</v>
      </c>
      <c r="H4">
        <f t="shared" si="1"/>
        <v>0.40692734719806989</v>
      </c>
    </row>
    <row r="5" spans="1:11" x14ac:dyDescent="0.2">
      <c r="A5" s="17"/>
      <c r="B5" s="4">
        <v>5</v>
      </c>
      <c r="C5" s="4">
        <v>5</v>
      </c>
      <c r="D5" s="4">
        <v>5</v>
      </c>
      <c r="E5" s="4">
        <v>4</v>
      </c>
      <c r="F5" s="4">
        <v>5</v>
      </c>
      <c r="G5">
        <f t="shared" si="0"/>
        <v>4.6015993951378382</v>
      </c>
      <c r="H5">
        <f t="shared" si="1"/>
        <v>0.15872304195453638</v>
      </c>
    </row>
    <row r="6" spans="1:11" x14ac:dyDescent="0.2">
      <c r="A6" s="17"/>
      <c r="B6" s="4">
        <v>5</v>
      </c>
      <c r="C6" s="4">
        <v>5</v>
      </c>
      <c r="D6" s="4">
        <v>5</v>
      </c>
      <c r="E6" s="4">
        <v>5</v>
      </c>
      <c r="F6" s="4">
        <v>5</v>
      </c>
      <c r="G6">
        <f t="shared" si="0"/>
        <v>4.92737582877748</v>
      </c>
      <c r="H6">
        <f t="shared" si="1"/>
        <v>5.2742702457578968E-3</v>
      </c>
    </row>
    <row r="7" spans="1:11" x14ac:dyDescent="0.2">
      <c r="A7" s="17"/>
      <c r="B7" s="4">
        <v>4</v>
      </c>
      <c r="C7" s="4">
        <v>2</v>
      </c>
      <c r="D7" s="4">
        <v>2</v>
      </c>
      <c r="E7" s="4">
        <v>4</v>
      </c>
      <c r="F7" s="4">
        <v>3</v>
      </c>
      <c r="G7">
        <f t="shared" si="0"/>
        <v>3.0539083401186446</v>
      </c>
      <c r="H7">
        <f t="shared" si="1"/>
        <v>2.906109134347472E-3</v>
      </c>
    </row>
    <row r="8" spans="1:11" x14ac:dyDescent="0.2">
      <c r="A8" s="17"/>
      <c r="B8" s="4">
        <v>4</v>
      </c>
      <c r="C8" s="4">
        <v>4</v>
      </c>
      <c r="D8" s="4">
        <v>4</v>
      </c>
      <c r="E8" s="4">
        <v>3</v>
      </c>
      <c r="F8" s="4">
        <v>4</v>
      </c>
      <c r="G8">
        <f t="shared" si="0"/>
        <v>3.7154995928812369</v>
      </c>
      <c r="H8">
        <f t="shared" si="1"/>
        <v>8.0940481650741955E-2</v>
      </c>
    </row>
    <row r="9" spans="1:11" x14ac:dyDescent="0.2">
      <c r="A9" s="17"/>
      <c r="B9" s="4">
        <v>5</v>
      </c>
      <c r="C9" s="4">
        <v>5</v>
      </c>
      <c r="D9" s="4">
        <v>5</v>
      </c>
      <c r="E9" s="4">
        <v>5</v>
      </c>
      <c r="F9" s="4">
        <v>5</v>
      </c>
      <c r="G9">
        <f t="shared" si="0"/>
        <v>4.92737582877748</v>
      </c>
      <c r="H9">
        <f t="shared" si="1"/>
        <v>5.2742702457578968E-3</v>
      </c>
    </row>
    <row r="10" spans="1:11" x14ac:dyDescent="0.2">
      <c r="A10" s="17"/>
      <c r="B10" s="4">
        <v>5</v>
      </c>
      <c r="C10" s="4">
        <v>5</v>
      </c>
      <c r="D10" s="4">
        <v>5</v>
      </c>
      <c r="E10" s="4">
        <v>5</v>
      </c>
      <c r="F10" s="4">
        <v>5</v>
      </c>
      <c r="G10">
        <f t="shared" si="0"/>
        <v>4.92737582877748</v>
      </c>
      <c r="H10">
        <f t="shared" si="1"/>
        <v>5.2742702457578968E-3</v>
      </c>
    </row>
    <row r="11" spans="1:11" x14ac:dyDescent="0.2">
      <c r="A11" s="17" t="s">
        <v>248</v>
      </c>
      <c r="B11" s="3">
        <v>5</v>
      </c>
      <c r="C11" s="3">
        <v>5</v>
      </c>
      <c r="D11" s="3">
        <v>5</v>
      </c>
      <c r="E11" s="3">
        <v>5</v>
      </c>
      <c r="F11" s="3">
        <v>5</v>
      </c>
      <c r="I11" t="s">
        <v>255</v>
      </c>
    </row>
    <row r="12" spans="1:11" ht="17" thickBot="1" x14ac:dyDescent="0.25">
      <c r="A12" s="17"/>
      <c r="B12" s="3">
        <v>5</v>
      </c>
      <c r="C12" s="3">
        <v>5</v>
      </c>
      <c r="D12" s="3">
        <v>5</v>
      </c>
      <c r="E12" s="3">
        <v>5</v>
      </c>
      <c r="F12" s="3">
        <v>5</v>
      </c>
    </row>
    <row r="13" spans="1:11" x14ac:dyDescent="0.2">
      <c r="A13" s="17"/>
      <c r="B13" s="3">
        <v>5</v>
      </c>
      <c r="C13" s="3">
        <v>5</v>
      </c>
      <c r="D13" s="3">
        <v>5</v>
      </c>
      <c r="E13" s="3">
        <v>5</v>
      </c>
      <c r="F13" s="3">
        <v>5</v>
      </c>
      <c r="I13" s="8" t="s">
        <v>256</v>
      </c>
      <c r="J13" s="8"/>
    </row>
    <row r="14" spans="1:11" x14ac:dyDescent="0.2">
      <c r="A14" s="17"/>
      <c r="B14" s="3">
        <v>5</v>
      </c>
      <c r="C14" s="3">
        <v>5</v>
      </c>
      <c r="D14" s="3">
        <v>5</v>
      </c>
      <c r="E14" s="3">
        <v>5</v>
      </c>
      <c r="F14" s="3">
        <v>5</v>
      </c>
      <c r="I14" t="s">
        <v>257</v>
      </c>
      <c r="J14">
        <v>0.8717114273922949</v>
      </c>
    </row>
    <row r="15" spans="1:11" x14ac:dyDescent="0.2">
      <c r="A15" s="17"/>
      <c r="B15" s="3">
        <v>5</v>
      </c>
      <c r="C15" s="3">
        <v>5</v>
      </c>
      <c r="D15" s="3">
        <v>4</v>
      </c>
      <c r="E15" s="3">
        <v>5</v>
      </c>
      <c r="F15" s="3">
        <v>4</v>
      </c>
      <c r="I15" t="s">
        <v>258</v>
      </c>
      <c r="J15">
        <v>0.75988081264631213</v>
      </c>
    </row>
    <row r="16" spans="1:11" x14ac:dyDescent="0.2">
      <c r="A16" s="17"/>
      <c r="B16" s="3">
        <v>5</v>
      </c>
      <c r="C16" s="3">
        <v>5</v>
      </c>
      <c r="D16" s="3">
        <v>5</v>
      </c>
      <c r="E16" s="3">
        <v>5</v>
      </c>
      <c r="F16" s="3">
        <v>5</v>
      </c>
      <c r="I16" t="s">
        <v>259</v>
      </c>
      <c r="J16">
        <v>0.7385368848815399</v>
      </c>
    </row>
    <row r="17" spans="1:17" x14ac:dyDescent="0.2">
      <c r="A17" s="17"/>
      <c r="B17" s="3">
        <v>5</v>
      </c>
      <c r="C17" s="3">
        <v>5</v>
      </c>
      <c r="D17" s="3">
        <v>5</v>
      </c>
      <c r="E17" s="3">
        <v>5</v>
      </c>
      <c r="F17" s="3">
        <v>5</v>
      </c>
      <c r="I17" t="s">
        <v>260</v>
      </c>
      <c r="J17">
        <v>0.31402061440811141</v>
      </c>
    </row>
    <row r="18" spans="1:17" ht="17" thickBot="1" x14ac:dyDescent="0.25">
      <c r="A18" s="17"/>
      <c r="B18" s="3">
        <v>4</v>
      </c>
      <c r="C18" s="3">
        <v>5</v>
      </c>
      <c r="D18" s="3">
        <v>4</v>
      </c>
      <c r="E18" s="3">
        <v>5</v>
      </c>
      <c r="F18" s="3">
        <v>5</v>
      </c>
      <c r="I18" s="6" t="s">
        <v>261</v>
      </c>
      <c r="J18" s="6">
        <v>50</v>
      </c>
    </row>
    <row r="19" spans="1:17" x14ac:dyDescent="0.2">
      <c r="A19" s="17" t="s">
        <v>250</v>
      </c>
      <c r="B19" s="3">
        <v>5</v>
      </c>
      <c r="C19" s="3">
        <v>4</v>
      </c>
      <c r="D19" s="3">
        <v>4</v>
      </c>
      <c r="E19" s="3">
        <v>4</v>
      </c>
      <c r="F19" s="3">
        <v>4</v>
      </c>
    </row>
    <row r="20" spans="1:17" ht="17" thickBot="1" x14ac:dyDescent="0.25">
      <c r="A20" s="17"/>
      <c r="B20" s="3">
        <v>5</v>
      </c>
      <c r="C20" s="3">
        <v>5</v>
      </c>
      <c r="D20" s="3">
        <v>5</v>
      </c>
      <c r="E20" s="3">
        <v>5</v>
      </c>
      <c r="F20" s="3">
        <v>5</v>
      </c>
      <c r="I20" t="s">
        <v>262</v>
      </c>
    </row>
    <row r="21" spans="1:17" x14ac:dyDescent="0.2">
      <c r="A21" s="17"/>
      <c r="B21" s="3">
        <v>4</v>
      </c>
      <c r="C21" s="3">
        <v>3</v>
      </c>
      <c r="D21" s="3">
        <v>3</v>
      </c>
      <c r="E21" s="3">
        <v>3</v>
      </c>
      <c r="F21" s="3">
        <v>3</v>
      </c>
      <c r="I21" s="7"/>
      <c r="J21" s="7" t="s">
        <v>267</v>
      </c>
      <c r="K21" s="7" t="s">
        <v>268</v>
      </c>
      <c r="L21" s="7" t="s">
        <v>269</v>
      </c>
      <c r="M21" s="7" t="s">
        <v>270</v>
      </c>
      <c r="N21" s="7" t="s">
        <v>271</v>
      </c>
    </row>
    <row r="22" spans="1:17" x14ac:dyDescent="0.2">
      <c r="A22" s="17"/>
      <c r="B22" s="3">
        <v>5</v>
      </c>
      <c r="C22" s="3">
        <v>5</v>
      </c>
      <c r="D22" s="3">
        <v>5</v>
      </c>
      <c r="E22" s="3">
        <v>5</v>
      </c>
      <c r="F22" s="3">
        <v>5</v>
      </c>
      <c r="I22" t="s">
        <v>263</v>
      </c>
      <c r="J22">
        <v>4</v>
      </c>
      <c r="K22">
        <v>14.042597417703849</v>
      </c>
      <c r="L22">
        <v>3.5106493544259623</v>
      </c>
      <c r="M22">
        <v>35.601732774812007</v>
      </c>
      <c r="N22">
        <v>2.0759585815678881E-13</v>
      </c>
    </row>
    <row r="23" spans="1:17" x14ac:dyDescent="0.2">
      <c r="A23" s="17"/>
      <c r="B23" s="3">
        <v>4</v>
      </c>
      <c r="C23" s="3">
        <v>4</v>
      </c>
      <c r="D23" s="3">
        <v>4</v>
      </c>
      <c r="E23" s="3">
        <v>4</v>
      </c>
      <c r="F23" s="3">
        <v>4</v>
      </c>
      <c r="I23" t="s">
        <v>264</v>
      </c>
      <c r="J23">
        <v>45</v>
      </c>
      <c r="K23">
        <v>4.4374025822961505</v>
      </c>
      <c r="L23">
        <v>9.8608946273247788E-2</v>
      </c>
    </row>
    <row r="24" spans="1:17" ht="17" thickBot="1" x14ac:dyDescent="0.25">
      <c r="A24" s="17"/>
      <c r="B24" s="3">
        <v>4</v>
      </c>
      <c r="C24" s="3">
        <v>4</v>
      </c>
      <c r="D24" s="3">
        <v>4</v>
      </c>
      <c r="E24" s="3">
        <v>4</v>
      </c>
      <c r="F24" s="3">
        <v>4</v>
      </c>
      <c r="I24" s="6" t="s">
        <v>265</v>
      </c>
      <c r="J24" s="6">
        <v>49</v>
      </c>
      <c r="K24" s="6">
        <v>18.48</v>
      </c>
      <c r="L24" s="6"/>
      <c r="M24" s="6"/>
      <c r="N24" s="6"/>
    </row>
    <row r="25" spans="1:17" ht="17" thickBot="1" x14ac:dyDescent="0.25">
      <c r="A25" s="17"/>
      <c r="B25" s="3">
        <v>5</v>
      </c>
      <c r="C25" s="3">
        <v>5</v>
      </c>
      <c r="D25" s="3">
        <v>5</v>
      </c>
      <c r="E25" s="3">
        <v>5</v>
      </c>
      <c r="F25" s="3">
        <v>5</v>
      </c>
    </row>
    <row r="26" spans="1:17" x14ac:dyDescent="0.2">
      <c r="A26" s="17"/>
      <c r="B26" s="3">
        <v>5</v>
      </c>
      <c r="C26" s="3">
        <v>5</v>
      </c>
      <c r="D26" s="3">
        <v>5</v>
      </c>
      <c r="E26" s="3">
        <v>5</v>
      </c>
      <c r="F26" s="3">
        <v>5</v>
      </c>
      <c r="I26" s="7"/>
      <c r="J26" s="7" t="s">
        <v>272</v>
      </c>
      <c r="K26" s="7" t="s">
        <v>260</v>
      </c>
      <c r="L26" s="7" t="s">
        <v>273</v>
      </c>
      <c r="M26" s="7" t="s">
        <v>274</v>
      </c>
      <c r="N26" s="7" t="s">
        <v>275</v>
      </c>
      <c r="O26" s="7" t="s">
        <v>276</v>
      </c>
      <c r="P26" s="7" t="s">
        <v>277</v>
      </c>
      <c r="Q26" s="7" t="s">
        <v>278</v>
      </c>
    </row>
    <row r="27" spans="1:17" x14ac:dyDescent="0.2">
      <c r="A27" s="17" t="s">
        <v>251</v>
      </c>
      <c r="B27" s="4">
        <v>4</v>
      </c>
      <c r="C27" s="4">
        <v>4</v>
      </c>
      <c r="D27" s="4">
        <v>4</v>
      </c>
      <c r="E27" s="4">
        <v>4</v>
      </c>
      <c r="F27" s="4">
        <v>4</v>
      </c>
      <c r="I27" t="s">
        <v>266</v>
      </c>
      <c r="J27">
        <v>0.49687681749447266</v>
      </c>
      <c r="K27">
        <v>0.37186817891961105</v>
      </c>
      <c r="L27">
        <v>1.3361638496147998</v>
      </c>
      <c r="M27">
        <v>0.18821351934280556</v>
      </c>
      <c r="N27">
        <v>-0.25210414188446462</v>
      </c>
      <c r="O27">
        <v>1.24585777687341</v>
      </c>
      <c r="P27">
        <v>-0.25210414188446462</v>
      </c>
      <c r="Q27">
        <v>1.24585777687341</v>
      </c>
    </row>
    <row r="28" spans="1:17" x14ac:dyDescent="0.2">
      <c r="A28" s="17"/>
      <c r="B28" s="4">
        <v>5</v>
      </c>
      <c r="C28" s="4">
        <v>5</v>
      </c>
      <c r="D28" s="4">
        <v>4</v>
      </c>
      <c r="E28" s="4">
        <v>4</v>
      </c>
      <c r="F28" s="4">
        <v>5</v>
      </c>
      <c r="I28" t="s">
        <v>279</v>
      </c>
      <c r="J28">
        <v>6.6639525415842282E-2</v>
      </c>
      <c r="K28">
        <v>0.11650658648605743</v>
      </c>
      <c r="L28">
        <v>0.57198075598770692</v>
      </c>
      <c r="M28">
        <v>0.57018145653562224</v>
      </c>
      <c r="N28">
        <v>-0.16801678525266533</v>
      </c>
      <c r="O28">
        <v>0.3012958360843499</v>
      </c>
      <c r="P28">
        <v>-0.16801678525266533</v>
      </c>
      <c r="Q28">
        <v>0.3012958360843499</v>
      </c>
    </row>
    <row r="29" spans="1:17" x14ac:dyDescent="0.2">
      <c r="A29" s="17"/>
      <c r="B29" s="4">
        <v>4</v>
      </c>
      <c r="C29" s="4">
        <v>4</v>
      </c>
      <c r="D29" s="4">
        <v>4</v>
      </c>
      <c r="E29" s="4">
        <v>4</v>
      </c>
      <c r="F29" s="4">
        <v>4</v>
      </c>
      <c r="I29" t="s">
        <v>280</v>
      </c>
      <c r="J29">
        <v>0.20421658718157498</v>
      </c>
      <c r="K29">
        <v>0.12358897840315182</v>
      </c>
      <c r="L29">
        <v>1.652385106019834</v>
      </c>
      <c r="M29">
        <v>0.10541769541913266</v>
      </c>
      <c r="N29">
        <v>-4.4704393048534748E-2</v>
      </c>
      <c r="O29">
        <v>0.45313756741168471</v>
      </c>
      <c r="P29">
        <v>-4.4704393048534748E-2</v>
      </c>
      <c r="Q29">
        <v>0.45313756741168471</v>
      </c>
    </row>
    <row r="30" spans="1:17" x14ac:dyDescent="0.2">
      <c r="A30" s="17"/>
      <c r="B30" s="4">
        <v>4</v>
      </c>
      <c r="C30" s="4">
        <v>5</v>
      </c>
      <c r="D30" s="4">
        <v>5</v>
      </c>
      <c r="E30" s="4">
        <v>4</v>
      </c>
      <c r="F30" s="4">
        <v>4</v>
      </c>
      <c r="I30" t="s">
        <v>281</v>
      </c>
      <c r="J30">
        <v>0.28946725601954226</v>
      </c>
      <c r="K30">
        <v>9.8178139494721983E-2</v>
      </c>
      <c r="L30">
        <v>2.9483880781332581</v>
      </c>
      <c r="M30">
        <v>5.0501691386260874E-3</v>
      </c>
      <c r="N30">
        <v>9.1726332549206313E-2</v>
      </c>
      <c r="O30">
        <v>0.48720817948987821</v>
      </c>
      <c r="P30">
        <v>9.1726332549206313E-2</v>
      </c>
      <c r="Q30">
        <v>0.48720817948987821</v>
      </c>
    </row>
    <row r="31" spans="1:17" ht="17" thickBot="1" x14ac:dyDescent="0.25">
      <c r="A31" s="17"/>
      <c r="B31" s="4">
        <v>4</v>
      </c>
      <c r="C31" s="4">
        <v>4</v>
      </c>
      <c r="D31" s="4">
        <v>4</v>
      </c>
      <c r="E31" s="4">
        <v>4</v>
      </c>
      <c r="F31" s="4">
        <v>4</v>
      </c>
      <c r="I31" s="6" t="s">
        <v>282</v>
      </c>
      <c r="J31" s="6">
        <v>0.32577643363964209</v>
      </c>
      <c r="K31" s="6">
        <v>0.11926501012323192</v>
      </c>
      <c r="L31" s="6">
        <v>2.7315340291593477</v>
      </c>
      <c r="M31" s="6">
        <v>8.9725496407480863E-3</v>
      </c>
      <c r="N31" s="6">
        <v>8.5564372575532316E-2</v>
      </c>
      <c r="O31" s="6">
        <v>0.5659884947037519</v>
      </c>
      <c r="P31" s="6">
        <v>8.5564372575532316E-2</v>
      </c>
      <c r="Q31" s="6">
        <v>0.5659884947037519</v>
      </c>
    </row>
    <row r="32" spans="1:17" x14ac:dyDescent="0.2">
      <c r="A32" s="17"/>
      <c r="B32" s="4">
        <v>5</v>
      </c>
      <c r="C32" s="4">
        <v>5</v>
      </c>
      <c r="D32" s="4">
        <v>5</v>
      </c>
      <c r="E32" s="4">
        <v>5</v>
      </c>
      <c r="F32" s="4">
        <v>5</v>
      </c>
    </row>
    <row r="33" spans="1:6" x14ac:dyDescent="0.2">
      <c r="A33" s="17"/>
      <c r="B33" s="4">
        <v>5</v>
      </c>
      <c r="C33" s="4">
        <v>5</v>
      </c>
      <c r="D33" s="4">
        <v>5</v>
      </c>
      <c r="E33" s="4">
        <v>5</v>
      </c>
      <c r="F33" s="4">
        <v>5</v>
      </c>
    </row>
    <row r="34" spans="1:6" x14ac:dyDescent="0.2">
      <c r="A34" s="17"/>
      <c r="B34" s="4">
        <v>5</v>
      </c>
      <c r="C34" s="4">
        <v>5</v>
      </c>
      <c r="D34" s="4">
        <v>5</v>
      </c>
      <c r="E34" s="4">
        <v>5</v>
      </c>
      <c r="F34" s="4">
        <v>5</v>
      </c>
    </row>
    <row r="35" spans="1:6" x14ac:dyDescent="0.2">
      <c r="A35" s="17"/>
      <c r="B35" s="4">
        <v>4</v>
      </c>
      <c r="C35" s="4">
        <v>4</v>
      </c>
      <c r="D35" s="4">
        <v>4</v>
      </c>
      <c r="E35" s="4">
        <v>3</v>
      </c>
      <c r="F35" s="4">
        <v>4</v>
      </c>
    </row>
    <row r="36" spans="1:6" x14ac:dyDescent="0.2">
      <c r="A36" s="17" t="s">
        <v>252</v>
      </c>
      <c r="B36" s="3">
        <v>3</v>
      </c>
      <c r="C36" s="3">
        <v>3</v>
      </c>
      <c r="D36" s="3">
        <v>3</v>
      </c>
      <c r="E36" s="3">
        <v>3</v>
      </c>
      <c r="F36" s="3">
        <v>3</v>
      </c>
    </row>
    <row r="37" spans="1:6" x14ac:dyDescent="0.2">
      <c r="A37" s="17"/>
      <c r="B37" s="3">
        <v>4</v>
      </c>
      <c r="C37" s="3">
        <v>4</v>
      </c>
      <c r="D37" s="3">
        <v>5</v>
      </c>
      <c r="E37" s="3">
        <v>4</v>
      </c>
      <c r="F37" s="3">
        <v>4</v>
      </c>
    </row>
    <row r="38" spans="1:6" x14ac:dyDescent="0.2">
      <c r="A38" s="17"/>
      <c r="B38" s="3">
        <v>5</v>
      </c>
      <c r="C38" s="3">
        <v>5</v>
      </c>
      <c r="D38" s="3">
        <v>4</v>
      </c>
      <c r="E38" s="3">
        <v>4</v>
      </c>
      <c r="F38" s="3">
        <v>4</v>
      </c>
    </row>
    <row r="39" spans="1:6" x14ac:dyDescent="0.2">
      <c r="A39" s="17"/>
      <c r="B39" s="3">
        <v>4</v>
      </c>
      <c r="C39" s="3">
        <v>5</v>
      </c>
      <c r="D39" s="3">
        <v>4</v>
      </c>
      <c r="E39" s="3">
        <v>4</v>
      </c>
      <c r="F39" s="3">
        <v>4</v>
      </c>
    </row>
    <row r="40" spans="1:6" x14ac:dyDescent="0.2">
      <c r="A40" s="17"/>
      <c r="B40" s="3">
        <v>4</v>
      </c>
      <c r="C40" s="3">
        <v>5</v>
      </c>
      <c r="D40" s="3">
        <v>5</v>
      </c>
      <c r="E40" s="3">
        <v>4</v>
      </c>
      <c r="F40" s="3">
        <v>5</v>
      </c>
    </row>
    <row r="41" spans="1:6" x14ac:dyDescent="0.2">
      <c r="A41" s="17"/>
      <c r="B41" s="3">
        <v>5</v>
      </c>
      <c r="C41" s="3">
        <v>5</v>
      </c>
      <c r="D41" s="3">
        <v>5</v>
      </c>
      <c r="E41" s="3">
        <v>4</v>
      </c>
      <c r="F41" s="3">
        <v>4</v>
      </c>
    </row>
    <row r="42" spans="1:6" x14ac:dyDescent="0.2">
      <c r="A42" s="17"/>
      <c r="B42" s="3">
        <v>3</v>
      </c>
      <c r="C42" s="3">
        <v>2</v>
      </c>
      <c r="D42" s="3">
        <v>2</v>
      </c>
      <c r="E42" s="3">
        <v>3</v>
      </c>
      <c r="F42" s="3">
        <v>3</v>
      </c>
    </row>
    <row r="43" spans="1:6" x14ac:dyDescent="0.2">
      <c r="A43" s="17"/>
      <c r="B43" s="3">
        <v>4</v>
      </c>
      <c r="C43" s="3">
        <v>4</v>
      </c>
      <c r="D43" s="3">
        <v>4</v>
      </c>
      <c r="E43" s="3">
        <v>4</v>
      </c>
      <c r="F43" s="3">
        <v>4</v>
      </c>
    </row>
    <row r="44" spans="1:6" x14ac:dyDescent="0.2">
      <c r="A44" s="17" t="s">
        <v>253</v>
      </c>
      <c r="B44" s="4">
        <v>5</v>
      </c>
      <c r="C44" s="4">
        <v>5</v>
      </c>
      <c r="D44" s="4">
        <v>5</v>
      </c>
      <c r="E44" s="4">
        <v>5</v>
      </c>
      <c r="F44" s="4">
        <v>5</v>
      </c>
    </row>
    <row r="45" spans="1:6" x14ac:dyDescent="0.2">
      <c r="A45" s="17"/>
      <c r="B45" s="4">
        <v>5</v>
      </c>
      <c r="C45" s="4">
        <v>5</v>
      </c>
      <c r="D45" s="4">
        <v>5</v>
      </c>
      <c r="E45" s="4">
        <v>5</v>
      </c>
      <c r="F45" s="4">
        <v>5</v>
      </c>
    </row>
    <row r="46" spans="1:6" x14ac:dyDescent="0.2">
      <c r="A46" s="17"/>
      <c r="B46" s="4">
        <v>4</v>
      </c>
      <c r="C46" s="4">
        <v>5</v>
      </c>
      <c r="D46" s="4">
        <v>5</v>
      </c>
      <c r="E46" s="4">
        <v>5</v>
      </c>
      <c r="F46" s="4">
        <v>5</v>
      </c>
    </row>
    <row r="47" spans="1:6" x14ac:dyDescent="0.2">
      <c r="A47" s="17"/>
      <c r="B47" s="4">
        <v>5</v>
      </c>
      <c r="C47" s="4">
        <v>5</v>
      </c>
      <c r="D47" s="4">
        <v>5</v>
      </c>
      <c r="E47" s="4">
        <v>5</v>
      </c>
      <c r="F47" s="4">
        <v>5</v>
      </c>
    </row>
    <row r="48" spans="1:6" x14ac:dyDescent="0.2">
      <c r="A48" s="17"/>
      <c r="B48" s="4">
        <v>5</v>
      </c>
      <c r="C48" s="4">
        <v>5</v>
      </c>
      <c r="D48" s="4">
        <v>3</v>
      </c>
      <c r="E48" s="4">
        <v>5</v>
      </c>
      <c r="F48" s="4">
        <v>4</v>
      </c>
    </row>
    <row r="49" spans="1:6" x14ac:dyDescent="0.2">
      <c r="A49" s="17"/>
      <c r="B49" s="4">
        <v>4</v>
      </c>
      <c r="C49" s="4">
        <v>5</v>
      </c>
      <c r="D49" s="4">
        <v>4</v>
      </c>
      <c r="E49" s="4">
        <v>4</v>
      </c>
      <c r="F49" s="4">
        <v>4</v>
      </c>
    </row>
    <row r="50" spans="1:6" x14ac:dyDescent="0.2">
      <c r="A50" s="17"/>
      <c r="B50" s="4">
        <v>4</v>
      </c>
      <c r="C50" s="4">
        <v>4</v>
      </c>
      <c r="D50" s="4">
        <v>3</v>
      </c>
      <c r="E50" s="4">
        <v>4</v>
      </c>
      <c r="F50" s="4">
        <v>4</v>
      </c>
    </row>
    <row r="51" spans="1:6" x14ac:dyDescent="0.2">
      <c r="A51" s="17"/>
      <c r="B51" s="4">
        <v>5</v>
      </c>
      <c r="C51" s="4">
        <v>5</v>
      </c>
      <c r="D51" s="4">
        <v>5</v>
      </c>
      <c r="E51" s="4">
        <v>5</v>
      </c>
      <c r="F51" s="4">
        <v>5</v>
      </c>
    </row>
    <row r="52" spans="1:6" x14ac:dyDescent="0.2">
      <c r="A52" s="17"/>
      <c r="B52" s="4">
        <v>5</v>
      </c>
      <c r="C52" s="4">
        <v>5</v>
      </c>
      <c r="D52" s="4">
        <v>5</v>
      </c>
      <c r="E52" s="4">
        <v>5</v>
      </c>
      <c r="F52" s="4">
        <v>5</v>
      </c>
    </row>
    <row r="53" spans="1:6" x14ac:dyDescent="0.2">
      <c r="A53" s="17" t="s">
        <v>254</v>
      </c>
      <c r="B53" s="3">
        <v>5</v>
      </c>
      <c r="C53" s="3">
        <v>5</v>
      </c>
      <c r="D53" s="3">
        <v>5</v>
      </c>
      <c r="E53" s="3">
        <v>5</v>
      </c>
      <c r="F53" s="3">
        <v>5</v>
      </c>
    </row>
    <row r="54" spans="1:6" x14ac:dyDescent="0.2">
      <c r="A54" s="17"/>
      <c r="B54" s="3">
        <v>5</v>
      </c>
      <c r="C54" s="3">
        <v>4</v>
      </c>
      <c r="D54" s="3">
        <v>4</v>
      </c>
      <c r="E54" s="3">
        <v>4</v>
      </c>
      <c r="F54" s="3">
        <v>4</v>
      </c>
    </row>
    <row r="55" spans="1:6" x14ac:dyDescent="0.2">
      <c r="A55" s="17"/>
      <c r="B55" s="3">
        <v>5</v>
      </c>
      <c r="C55" s="3">
        <v>5</v>
      </c>
      <c r="D55" s="3">
        <v>5</v>
      </c>
      <c r="E55" s="3">
        <v>5</v>
      </c>
      <c r="F55" s="3">
        <v>5</v>
      </c>
    </row>
    <row r="56" spans="1:6" x14ac:dyDescent="0.2">
      <c r="A56" s="17"/>
      <c r="B56" s="3">
        <v>4</v>
      </c>
      <c r="C56" s="3">
        <v>5</v>
      </c>
      <c r="D56" s="3">
        <v>5</v>
      </c>
      <c r="E56" s="3">
        <v>5</v>
      </c>
      <c r="F56" s="3">
        <v>4</v>
      </c>
    </row>
    <row r="57" spans="1:6" x14ac:dyDescent="0.2">
      <c r="A57" s="17"/>
      <c r="B57" s="3">
        <v>5</v>
      </c>
      <c r="C57" s="3">
        <v>5</v>
      </c>
      <c r="D57" s="3">
        <v>4</v>
      </c>
      <c r="E57" s="3">
        <v>4</v>
      </c>
      <c r="F57" s="3">
        <v>4</v>
      </c>
    </row>
    <row r="58" spans="1:6" x14ac:dyDescent="0.2">
      <c r="A58" s="17"/>
      <c r="B58" s="3">
        <v>5</v>
      </c>
      <c r="C58" s="3">
        <v>5</v>
      </c>
      <c r="D58" s="3">
        <v>5</v>
      </c>
      <c r="E58" s="3">
        <v>4</v>
      </c>
      <c r="F58" s="3">
        <v>5</v>
      </c>
    </row>
    <row r="59" spans="1:6" x14ac:dyDescent="0.2">
      <c r="A59" s="17"/>
      <c r="B59" s="3">
        <v>4</v>
      </c>
      <c r="C59" s="3">
        <v>5</v>
      </c>
      <c r="D59" s="3">
        <v>4</v>
      </c>
      <c r="E59" s="3">
        <v>4</v>
      </c>
      <c r="F59" s="3">
        <v>5</v>
      </c>
    </row>
    <row r="60" spans="1:6" x14ac:dyDescent="0.2">
      <c r="A60" s="17"/>
      <c r="B60" s="3">
        <v>5</v>
      </c>
      <c r="C60" s="3">
        <v>5</v>
      </c>
      <c r="D60" s="3">
        <v>5</v>
      </c>
      <c r="E60" s="3">
        <v>5</v>
      </c>
      <c r="F60" s="3">
        <v>5</v>
      </c>
    </row>
  </sheetData>
  <mergeCells count="7">
    <mergeCell ref="A53:A60"/>
    <mergeCell ref="A11:A18"/>
    <mergeCell ref="A2:A10"/>
    <mergeCell ref="A19:A26"/>
    <mergeCell ref="A27:A35"/>
    <mergeCell ref="A36:A43"/>
    <mergeCell ref="A44:A5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D1C78-ECB3-C447-90AD-7B1328ECE760}">
  <dimension ref="A1:Q60"/>
  <sheetViews>
    <sheetView workbookViewId="0">
      <selection activeCell="J28" sqref="J28"/>
    </sheetView>
  </sheetViews>
  <sheetFormatPr baseColWidth="10" defaultRowHeight="16" x14ac:dyDescent="0.2"/>
  <sheetData>
    <row r="1" spans="1:11" x14ac:dyDescent="0.2">
      <c r="A1" s="5"/>
      <c r="B1" t="s">
        <v>243</v>
      </c>
      <c r="C1" t="s">
        <v>244</v>
      </c>
      <c r="D1" t="s">
        <v>245</v>
      </c>
      <c r="E1" t="s">
        <v>246</v>
      </c>
      <c r="F1" t="s">
        <v>247</v>
      </c>
      <c r="G1" t="s">
        <v>284</v>
      </c>
      <c r="H1" t="s">
        <v>285</v>
      </c>
    </row>
    <row r="2" spans="1:11" x14ac:dyDescent="0.2">
      <c r="A2" s="17" t="s">
        <v>250</v>
      </c>
      <c r="B2" s="3">
        <v>5</v>
      </c>
      <c r="C2" s="3">
        <v>4</v>
      </c>
      <c r="D2" s="3">
        <v>4</v>
      </c>
      <c r="E2" s="3">
        <v>4</v>
      </c>
      <c r="F2" s="3">
        <v>4</v>
      </c>
      <c r="G2">
        <f t="shared" ref="G2:G9" si="0">$J$27+$J$28*B2+$J$29*C2+$J$30*D2+$J$31*E2</f>
        <v>4.1867706822835302</v>
      </c>
      <c r="H2">
        <f>(ABS(F2-G2))^2</f>
        <v>3.4883287760655392E-2</v>
      </c>
      <c r="J2" t="s">
        <v>283</v>
      </c>
      <c r="K2">
        <f>SQRT(AVERAGE(H2:H9))</f>
        <v>0.15813595312126397</v>
      </c>
    </row>
    <row r="3" spans="1:11" x14ac:dyDescent="0.2">
      <c r="A3" s="17"/>
      <c r="B3" s="3">
        <v>5</v>
      </c>
      <c r="C3" s="3">
        <v>5</v>
      </c>
      <c r="D3" s="3">
        <v>5</v>
      </c>
      <c r="E3" s="3">
        <v>5</v>
      </c>
      <c r="F3" s="3">
        <v>5</v>
      </c>
      <c r="G3">
        <f t="shared" si="0"/>
        <v>4.9155718473248227</v>
      </c>
      <c r="H3">
        <f t="shared" ref="H3:H9" si="1">(ABS(F3-G3))^2</f>
        <v>7.1281129641430543E-3</v>
      </c>
    </row>
    <row r="4" spans="1:11" x14ac:dyDescent="0.2">
      <c r="A4" s="17"/>
      <c r="B4" s="3">
        <v>4</v>
      </c>
      <c r="C4" s="3">
        <v>3</v>
      </c>
      <c r="D4" s="3">
        <v>3</v>
      </c>
      <c r="E4" s="3">
        <v>3</v>
      </c>
      <c r="F4" s="3">
        <v>3</v>
      </c>
      <c r="G4">
        <f t="shared" si="0"/>
        <v>3.3517061755901434</v>
      </c>
      <c r="H4">
        <f t="shared" si="1"/>
        <v>0.12369723394824478</v>
      </c>
    </row>
    <row r="5" spans="1:11" x14ac:dyDescent="0.2">
      <c r="A5" s="17"/>
      <c r="B5" s="3">
        <v>5</v>
      </c>
      <c r="C5" s="3">
        <v>5</v>
      </c>
      <c r="D5" s="3">
        <v>5</v>
      </c>
      <c r="E5" s="3">
        <v>5</v>
      </c>
      <c r="F5" s="3">
        <v>5</v>
      </c>
      <c r="G5">
        <f t="shared" si="0"/>
        <v>4.9155718473248227</v>
      </c>
      <c r="H5">
        <f t="shared" si="1"/>
        <v>7.1281129641430543E-3</v>
      </c>
    </row>
    <row r="6" spans="1:11" x14ac:dyDescent="0.2">
      <c r="A6" s="17"/>
      <c r="B6" s="3">
        <v>4</v>
      </c>
      <c r="C6" s="3">
        <v>4</v>
      </c>
      <c r="D6" s="3">
        <v>4</v>
      </c>
      <c r="E6" s="3">
        <v>4</v>
      </c>
      <c r="F6" s="3">
        <v>4</v>
      </c>
      <c r="G6">
        <f t="shared" si="0"/>
        <v>4.0805073406314367</v>
      </c>
      <c r="H6">
        <f t="shared" si="1"/>
        <v>6.4814318955461817E-3</v>
      </c>
    </row>
    <row r="7" spans="1:11" x14ac:dyDescent="0.2">
      <c r="A7" s="17"/>
      <c r="B7" s="3">
        <v>4</v>
      </c>
      <c r="C7" s="3">
        <v>4</v>
      </c>
      <c r="D7" s="3">
        <v>4</v>
      </c>
      <c r="E7" s="3">
        <v>4</v>
      </c>
      <c r="F7" s="3">
        <v>4</v>
      </c>
      <c r="G7">
        <f t="shared" si="0"/>
        <v>4.0805073406314367</v>
      </c>
      <c r="H7">
        <f t="shared" si="1"/>
        <v>6.4814318955461817E-3</v>
      </c>
    </row>
    <row r="8" spans="1:11" x14ac:dyDescent="0.2">
      <c r="A8" s="17"/>
      <c r="B8" s="3">
        <v>5</v>
      </c>
      <c r="C8" s="3">
        <v>5</v>
      </c>
      <c r="D8" s="3">
        <v>5</v>
      </c>
      <c r="E8" s="3">
        <v>5</v>
      </c>
      <c r="F8" s="3">
        <v>5</v>
      </c>
      <c r="G8">
        <f t="shared" si="0"/>
        <v>4.9155718473248227</v>
      </c>
      <c r="H8">
        <f t="shared" si="1"/>
        <v>7.1281129641430543E-3</v>
      </c>
    </row>
    <row r="9" spans="1:11" x14ac:dyDescent="0.2">
      <c r="A9" s="17"/>
      <c r="B9" s="3">
        <v>5</v>
      </c>
      <c r="C9" s="3">
        <v>5</v>
      </c>
      <c r="D9" s="3">
        <v>5</v>
      </c>
      <c r="E9" s="3">
        <v>5</v>
      </c>
      <c r="F9" s="3">
        <v>5</v>
      </c>
      <c r="G9">
        <f t="shared" si="0"/>
        <v>4.9155718473248227</v>
      </c>
      <c r="H9">
        <f t="shared" si="1"/>
        <v>7.1281129641430543E-3</v>
      </c>
    </row>
    <row r="10" spans="1:11" x14ac:dyDescent="0.2">
      <c r="A10" s="17" t="s">
        <v>248</v>
      </c>
      <c r="B10" s="3">
        <v>5</v>
      </c>
      <c r="C10" s="3">
        <v>5</v>
      </c>
      <c r="D10" s="3">
        <v>5</v>
      </c>
      <c r="E10" s="3">
        <v>5</v>
      </c>
      <c r="F10" s="3">
        <v>5</v>
      </c>
    </row>
    <row r="11" spans="1:11" x14ac:dyDescent="0.2">
      <c r="A11" s="17"/>
      <c r="B11" s="3">
        <v>5</v>
      </c>
      <c r="C11" s="3">
        <v>5</v>
      </c>
      <c r="D11" s="3">
        <v>5</v>
      </c>
      <c r="E11" s="3">
        <v>5</v>
      </c>
      <c r="F11" s="3">
        <v>5</v>
      </c>
      <c r="I11" t="s">
        <v>255</v>
      </c>
    </row>
    <row r="12" spans="1:11" ht="17" thickBot="1" x14ac:dyDescent="0.25">
      <c r="A12" s="17"/>
      <c r="B12" s="3">
        <v>5</v>
      </c>
      <c r="C12" s="3">
        <v>5</v>
      </c>
      <c r="D12" s="3">
        <v>5</v>
      </c>
      <c r="E12" s="3">
        <v>5</v>
      </c>
      <c r="F12" s="3">
        <v>5</v>
      </c>
    </row>
    <row r="13" spans="1:11" x14ac:dyDescent="0.2">
      <c r="A13" s="17"/>
      <c r="B13" s="3">
        <v>5</v>
      </c>
      <c r="C13" s="3">
        <v>5</v>
      </c>
      <c r="D13" s="3">
        <v>5</v>
      </c>
      <c r="E13" s="3">
        <v>5</v>
      </c>
      <c r="F13" s="3">
        <v>5</v>
      </c>
      <c r="I13" s="8" t="s">
        <v>256</v>
      </c>
      <c r="J13" s="8"/>
    </row>
    <row r="14" spans="1:11" x14ac:dyDescent="0.2">
      <c r="A14" s="17"/>
      <c r="B14" s="3">
        <v>5</v>
      </c>
      <c r="C14" s="3">
        <v>5</v>
      </c>
      <c r="D14" s="3">
        <v>4</v>
      </c>
      <c r="E14" s="3">
        <v>5</v>
      </c>
      <c r="F14" s="3">
        <v>4</v>
      </c>
      <c r="I14" t="s">
        <v>257</v>
      </c>
      <c r="J14">
        <v>0.85859735602656229</v>
      </c>
    </row>
    <row r="15" spans="1:11" x14ac:dyDescent="0.2">
      <c r="A15" s="17"/>
      <c r="B15" s="3">
        <v>5</v>
      </c>
      <c r="C15" s="3">
        <v>5</v>
      </c>
      <c r="D15" s="3">
        <v>5</v>
      </c>
      <c r="E15" s="3">
        <v>5</v>
      </c>
      <c r="F15" s="3">
        <v>5</v>
      </c>
      <c r="I15" t="s">
        <v>258</v>
      </c>
      <c r="J15">
        <v>0.73718941977580332</v>
      </c>
    </row>
    <row r="16" spans="1:11" x14ac:dyDescent="0.2">
      <c r="A16" s="17"/>
      <c r="B16" s="3">
        <v>5</v>
      </c>
      <c r="C16" s="3">
        <v>5</v>
      </c>
      <c r="D16" s="3">
        <v>5</v>
      </c>
      <c r="E16" s="3">
        <v>5</v>
      </c>
      <c r="F16" s="3">
        <v>5</v>
      </c>
      <c r="I16" t="s">
        <v>259</v>
      </c>
      <c r="J16">
        <v>0.71433632584326445</v>
      </c>
    </row>
    <row r="17" spans="1:17" x14ac:dyDescent="0.2">
      <c r="A17" s="17"/>
      <c r="B17" s="3">
        <v>4</v>
      </c>
      <c r="C17" s="3">
        <v>5</v>
      </c>
      <c r="D17" s="3">
        <v>4</v>
      </c>
      <c r="E17" s="3">
        <v>5</v>
      </c>
      <c r="F17" s="3">
        <v>5</v>
      </c>
      <c r="I17" t="s">
        <v>260</v>
      </c>
      <c r="J17">
        <v>0.32725505582987024</v>
      </c>
    </row>
    <row r="18" spans="1:17" ht="17" thickBot="1" x14ac:dyDescent="0.25">
      <c r="A18" s="17" t="s">
        <v>249</v>
      </c>
      <c r="B18" s="4">
        <v>4</v>
      </c>
      <c r="C18" s="4">
        <v>4</v>
      </c>
      <c r="D18" s="4">
        <v>3</v>
      </c>
      <c r="E18" s="4">
        <v>4</v>
      </c>
      <c r="F18" s="4">
        <v>4</v>
      </c>
      <c r="I18" s="6" t="s">
        <v>261</v>
      </c>
      <c r="J18" s="6">
        <v>51</v>
      </c>
    </row>
    <row r="19" spans="1:17" x14ac:dyDescent="0.2">
      <c r="A19" s="17"/>
      <c r="B19" s="4">
        <v>5</v>
      </c>
      <c r="C19" s="4">
        <v>5</v>
      </c>
      <c r="D19" s="4">
        <v>5</v>
      </c>
      <c r="E19" s="4">
        <v>5</v>
      </c>
      <c r="F19" s="4">
        <v>5</v>
      </c>
    </row>
    <row r="20" spans="1:17" ht="17" thickBot="1" x14ac:dyDescent="0.25">
      <c r="A20" s="17"/>
      <c r="B20" s="4">
        <v>5</v>
      </c>
      <c r="C20" s="4">
        <v>5</v>
      </c>
      <c r="D20" s="4">
        <v>4</v>
      </c>
      <c r="E20" s="4">
        <v>5</v>
      </c>
      <c r="F20" s="4">
        <v>4</v>
      </c>
      <c r="I20" t="s">
        <v>262</v>
      </c>
    </row>
    <row r="21" spans="1:17" x14ac:dyDescent="0.2">
      <c r="A21" s="17"/>
      <c r="B21" s="4">
        <v>5</v>
      </c>
      <c r="C21" s="4">
        <v>5</v>
      </c>
      <c r="D21" s="4">
        <v>5</v>
      </c>
      <c r="E21" s="4">
        <v>4</v>
      </c>
      <c r="F21" s="4">
        <v>5</v>
      </c>
      <c r="I21" s="7"/>
      <c r="J21" s="7" t="s">
        <v>267</v>
      </c>
      <c r="K21" s="7" t="s">
        <v>268</v>
      </c>
      <c r="L21" s="7" t="s">
        <v>269</v>
      </c>
      <c r="M21" s="7" t="s">
        <v>270</v>
      </c>
      <c r="N21" s="7" t="s">
        <v>271</v>
      </c>
    </row>
    <row r="22" spans="1:17" x14ac:dyDescent="0.2">
      <c r="A22" s="17"/>
      <c r="B22" s="4">
        <v>5</v>
      </c>
      <c r="C22" s="4">
        <v>5</v>
      </c>
      <c r="D22" s="4">
        <v>5</v>
      </c>
      <c r="E22" s="4">
        <v>5</v>
      </c>
      <c r="F22" s="4">
        <v>5</v>
      </c>
      <c r="I22" t="s">
        <v>263</v>
      </c>
      <c r="J22">
        <v>4</v>
      </c>
      <c r="K22">
        <v>13.81868794716997</v>
      </c>
      <c r="L22">
        <v>3.4546719867924924</v>
      </c>
      <c r="M22">
        <v>32.257751267812957</v>
      </c>
      <c r="N22">
        <v>8.0534037483623186E-13</v>
      </c>
    </row>
    <row r="23" spans="1:17" x14ac:dyDescent="0.2">
      <c r="A23" s="17"/>
      <c r="B23" s="4">
        <v>4</v>
      </c>
      <c r="C23" s="4">
        <v>2</v>
      </c>
      <c r="D23" s="4">
        <v>2</v>
      </c>
      <c r="E23" s="4">
        <v>4</v>
      </c>
      <c r="F23" s="4">
        <v>3</v>
      </c>
      <c r="I23" t="s">
        <v>264</v>
      </c>
      <c r="J23">
        <v>46</v>
      </c>
      <c r="K23">
        <v>4.926410092045729</v>
      </c>
      <c r="L23">
        <v>0.1070958715662115</v>
      </c>
    </row>
    <row r="24" spans="1:17" ht="17" thickBot="1" x14ac:dyDescent="0.25">
      <c r="A24" s="17"/>
      <c r="B24" s="4">
        <v>4</v>
      </c>
      <c r="C24" s="4">
        <v>4</v>
      </c>
      <c r="D24" s="4">
        <v>4</v>
      </c>
      <c r="E24" s="4">
        <v>3</v>
      </c>
      <c r="F24" s="4">
        <v>4</v>
      </c>
      <c r="I24" s="6" t="s">
        <v>265</v>
      </c>
      <c r="J24" s="6">
        <v>50</v>
      </c>
      <c r="K24" s="6">
        <v>18.745098039215698</v>
      </c>
      <c r="L24" s="6"/>
      <c r="M24" s="6"/>
      <c r="N24" s="6"/>
    </row>
    <row r="25" spans="1:17" ht="17" thickBot="1" x14ac:dyDescent="0.25">
      <c r="A25" s="17"/>
      <c r="B25" s="4">
        <v>5</v>
      </c>
      <c r="C25" s="4">
        <v>5</v>
      </c>
      <c r="D25" s="4">
        <v>5</v>
      </c>
      <c r="E25" s="4">
        <v>5</v>
      </c>
      <c r="F25" s="4">
        <v>5</v>
      </c>
    </row>
    <row r="26" spans="1:17" x14ac:dyDescent="0.2">
      <c r="A26" s="17"/>
      <c r="B26" s="4">
        <v>5</v>
      </c>
      <c r="C26" s="4">
        <v>5</v>
      </c>
      <c r="D26" s="4">
        <v>5</v>
      </c>
      <c r="E26" s="4">
        <v>5</v>
      </c>
      <c r="F26" s="4">
        <v>5</v>
      </c>
      <c r="I26" s="7"/>
      <c r="J26" s="7" t="s">
        <v>272</v>
      </c>
      <c r="K26" s="7" t="s">
        <v>260</v>
      </c>
      <c r="L26" s="7" t="s">
        <v>273</v>
      </c>
      <c r="M26" s="7" t="s">
        <v>274</v>
      </c>
      <c r="N26" s="7" t="s">
        <v>275</v>
      </c>
      <c r="O26" s="7" t="s">
        <v>276</v>
      </c>
      <c r="P26" s="7" t="s">
        <v>277</v>
      </c>
      <c r="Q26" s="7" t="s">
        <v>278</v>
      </c>
    </row>
    <row r="27" spans="1:17" x14ac:dyDescent="0.2">
      <c r="A27" s="17" t="s">
        <v>251</v>
      </c>
      <c r="B27" s="4">
        <v>4</v>
      </c>
      <c r="C27" s="4">
        <v>4</v>
      </c>
      <c r="D27" s="4">
        <v>4</v>
      </c>
      <c r="E27" s="4">
        <v>4</v>
      </c>
      <c r="F27" s="4">
        <v>4</v>
      </c>
      <c r="I27" t="s">
        <v>266</v>
      </c>
      <c r="J27">
        <v>0.74024931385789206</v>
      </c>
      <c r="K27">
        <v>0.38304398842141935</v>
      </c>
      <c r="L27">
        <v>1.9325438754660238</v>
      </c>
      <c r="M27">
        <v>5.9463357747405014E-2</v>
      </c>
      <c r="N27">
        <v>-3.0778244628127577E-2</v>
      </c>
      <c r="O27">
        <v>1.5112768723439125</v>
      </c>
      <c r="P27">
        <v>-3.0778244628127577E-2</v>
      </c>
      <c r="Q27">
        <v>1.5112768723439125</v>
      </c>
    </row>
    <row r="28" spans="1:17" x14ac:dyDescent="0.2">
      <c r="A28" s="17"/>
      <c r="B28" s="4">
        <v>5</v>
      </c>
      <c r="C28" s="4">
        <v>5</v>
      </c>
      <c r="D28" s="4">
        <v>4</v>
      </c>
      <c r="E28" s="4">
        <v>4</v>
      </c>
      <c r="F28" s="4">
        <v>5</v>
      </c>
      <c r="I28" t="s">
        <v>279</v>
      </c>
      <c r="J28">
        <v>0.10626334165209342</v>
      </c>
      <c r="K28">
        <v>0.12536557716269828</v>
      </c>
      <c r="L28">
        <v>0.84762774644419214</v>
      </c>
      <c r="M28">
        <v>0.40103420731276329</v>
      </c>
      <c r="N28">
        <v>-0.14608447687469614</v>
      </c>
      <c r="O28">
        <v>0.35861116017888295</v>
      </c>
      <c r="P28">
        <v>-0.14608447687469614</v>
      </c>
      <c r="Q28">
        <v>0.35861116017888295</v>
      </c>
    </row>
    <row r="29" spans="1:17" x14ac:dyDescent="0.2">
      <c r="A29" s="17"/>
      <c r="B29" s="4">
        <v>4</v>
      </c>
      <c r="C29" s="4">
        <v>4</v>
      </c>
      <c r="D29" s="4">
        <v>4</v>
      </c>
      <c r="E29" s="4">
        <v>4</v>
      </c>
      <c r="F29" s="4">
        <v>4</v>
      </c>
      <c r="I29" t="s">
        <v>280</v>
      </c>
      <c r="J29">
        <v>0.17282379372794546</v>
      </c>
      <c r="K29">
        <v>0.11660053870650978</v>
      </c>
      <c r="L29">
        <v>1.482186923363646</v>
      </c>
      <c r="M29">
        <v>0.14510931643408062</v>
      </c>
      <c r="N29">
        <v>-6.1880917466022728E-2</v>
      </c>
      <c r="O29">
        <v>0.40752850492191361</v>
      </c>
      <c r="P29">
        <v>-6.1880917466022728E-2</v>
      </c>
      <c r="Q29">
        <v>0.40752850492191361</v>
      </c>
    </row>
    <row r="30" spans="1:17" x14ac:dyDescent="0.2">
      <c r="A30" s="17"/>
      <c r="B30" s="4">
        <v>4</v>
      </c>
      <c r="C30" s="4">
        <v>5</v>
      </c>
      <c r="D30" s="4">
        <v>5</v>
      </c>
      <c r="E30" s="4">
        <v>4</v>
      </c>
      <c r="F30" s="4">
        <v>4</v>
      </c>
      <c r="I30" t="s">
        <v>281</v>
      </c>
      <c r="J30">
        <v>0.33908800667160421</v>
      </c>
      <c r="K30">
        <v>9.356534156820788E-2</v>
      </c>
      <c r="L30">
        <v>3.6240770459263874</v>
      </c>
      <c r="M30">
        <v>7.2218810361559811E-4</v>
      </c>
      <c r="N30">
        <v>0.15075074241756539</v>
      </c>
      <c r="O30">
        <v>0.52742527092564306</v>
      </c>
      <c r="P30">
        <v>0.15075074241756539</v>
      </c>
      <c r="Q30">
        <v>0.52742527092564306</v>
      </c>
    </row>
    <row r="31" spans="1:17" ht="17" thickBot="1" x14ac:dyDescent="0.25">
      <c r="A31" s="17"/>
      <c r="B31" s="4">
        <v>4</v>
      </c>
      <c r="C31" s="4">
        <v>4</v>
      </c>
      <c r="D31" s="4">
        <v>4</v>
      </c>
      <c r="E31" s="4">
        <v>4</v>
      </c>
      <c r="F31" s="4">
        <v>4</v>
      </c>
      <c r="I31" s="6" t="s">
        <v>282</v>
      </c>
      <c r="J31" s="6">
        <v>0.21688936464174305</v>
      </c>
      <c r="K31" s="6">
        <v>0.10813167713287267</v>
      </c>
      <c r="L31" s="6">
        <v>2.0057893338251702</v>
      </c>
      <c r="M31" s="6">
        <v>5.0780899244860608E-2</v>
      </c>
      <c r="N31" s="6">
        <v>-7.6841236279310339E-4</v>
      </c>
      <c r="O31" s="6">
        <v>0.43454714164627922</v>
      </c>
      <c r="P31" s="6">
        <v>-7.6841236279310339E-4</v>
      </c>
      <c r="Q31" s="6">
        <v>0.43454714164627922</v>
      </c>
    </row>
    <row r="32" spans="1:17" x14ac:dyDescent="0.2">
      <c r="A32" s="17"/>
      <c r="B32" s="4">
        <v>5</v>
      </c>
      <c r="C32" s="4">
        <v>5</v>
      </c>
      <c r="D32" s="4">
        <v>5</v>
      </c>
      <c r="E32" s="4">
        <v>5</v>
      </c>
      <c r="F32" s="4">
        <v>5</v>
      </c>
    </row>
    <row r="33" spans="1:6" x14ac:dyDescent="0.2">
      <c r="A33" s="17"/>
      <c r="B33" s="4">
        <v>5</v>
      </c>
      <c r="C33" s="4">
        <v>5</v>
      </c>
      <c r="D33" s="4">
        <v>5</v>
      </c>
      <c r="E33" s="4">
        <v>5</v>
      </c>
      <c r="F33" s="4">
        <v>5</v>
      </c>
    </row>
    <row r="34" spans="1:6" x14ac:dyDescent="0.2">
      <c r="A34" s="17"/>
      <c r="B34" s="4">
        <v>5</v>
      </c>
      <c r="C34" s="4">
        <v>5</v>
      </c>
      <c r="D34" s="4">
        <v>5</v>
      </c>
      <c r="E34" s="4">
        <v>5</v>
      </c>
      <c r="F34" s="4">
        <v>5</v>
      </c>
    </row>
    <row r="35" spans="1:6" x14ac:dyDescent="0.2">
      <c r="A35" s="17"/>
      <c r="B35" s="4">
        <v>4</v>
      </c>
      <c r="C35" s="4">
        <v>4</v>
      </c>
      <c r="D35" s="4">
        <v>4</v>
      </c>
      <c r="E35" s="4">
        <v>3</v>
      </c>
      <c r="F35" s="4">
        <v>4</v>
      </c>
    </row>
    <row r="36" spans="1:6" x14ac:dyDescent="0.2">
      <c r="A36" s="17" t="s">
        <v>252</v>
      </c>
      <c r="B36" s="3">
        <v>3</v>
      </c>
      <c r="C36" s="3">
        <v>3</v>
      </c>
      <c r="D36" s="3">
        <v>3</v>
      </c>
      <c r="E36" s="3">
        <v>3</v>
      </c>
      <c r="F36" s="3">
        <v>3</v>
      </c>
    </row>
    <row r="37" spans="1:6" x14ac:dyDescent="0.2">
      <c r="A37" s="17"/>
      <c r="B37" s="3">
        <v>4</v>
      </c>
      <c r="C37" s="3">
        <v>4</v>
      </c>
      <c r="D37" s="3">
        <v>5</v>
      </c>
      <c r="E37" s="3">
        <v>4</v>
      </c>
      <c r="F37" s="3">
        <v>4</v>
      </c>
    </row>
    <row r="38" spans="1:6" x14ac:dyDescent="0.2">
      <c r="A38" s="17"/>
      <c r="B38" s="3">
        <v>5</v>
      </c>
      <c r="C38" s="3">
        <v>5</v>
      </c>
      <c r="D38" s="3">
        <v>4</v>
      </c>
      <c r="E38" s="3">
        <v>4</v>
      </c>
      <c r="F38" s="3">
        <v>4</v>
      </c>
    </row>
    <row r="39" spans="1:6" x14ac:dyDescent="0.2">
      <c r="A39" s="17"/>
      <c r="B39" s="3">
        <v>4</v>
      </c>
      <c r="C39" s="3">
        <v>5</v>
      </c>
      <c r="D39" s="3">
        <v>4</v>
      </c>
      <c r="E39" s="3">
        <v>4</v>
      </c>
      <c r="F39" s="3">
        <v>4</v>
      </c>
    </row>
    <row r="40" spans="1:6" x14ac:dyDescent="0.2">
      <c r="A40" s="17"/>
      <c r="B40" s="3">
        <v>4</v>
      </c>
      <c r="C40" s="3">
        <v>5</v>
      </c>
      <c r="D40" s="3">
        <v>5</v>
      </c>
      <c r="E40" s="3">
        <v>4</v>
      </c>
      <c r="F40" s="3">
        <v>5</v>
      </c>
    </row>
    <row r="41" spans="1:6" x14ac:dyDescent="0.2">
      <c r="A41" s="17"/>
      <c r="B41" s="3">
        <v>5</v>
      </c>
      <c r="C41" s="3">
        <v>5</v>
      </c>
      <c r="D41" s="3">
        <v>5</v>
      </c>
      <c r="E41" s="3">
        <v>4</v>
      </c>
      <c r="F41" s="3">
        <v>4</v>
      </c>
    </row>
    <row r="42" spans="1:6" x14ac:dyDescent="0.2">
      <c r="A42" s="17"/>
      <c r="B42" s="3">
        <v>3</v>
      </c>
      <c r="C42" s="3">
        <v>2</v>
      </c>
      <c r="D42" s="3">
        <v>2</v>
      </c>
      <c r="E42" s="3">
        <v>3</v>
      </c>
      <c r="F42" s="3">
        <v>3</v>
      </c>
    </row>
    <row r="43" spans="1:6" x14ac:dyDescent="0.2">
      <c r="A43" s="17"/>
      <c r="B43" s="3">
        <v>4</v>
      </c>
      <c r="C43" s="3">
        <v>4</v>
      </c>
      <c r="D43" s="3">
        <v>4</v>
      </c>
      <c r="E43" s="3">
        <v>4</v>
      </c>
      <c r="F43" s="3">
        <v>4</v>
      </c>
    </row>
    <row r="44" spans="1:6" x14ac:dyDescent="0.2">
      <c r="A44" s="17" t="s">
        <v>253</v>
      </c>
      <c r="B44" s="4">
        <v>5</v>
      </c>
      <c r="C44" s="4">
        <v>5</v>
      </c>
      <c r="D44" s="4">
        <v>5</v>
      </c>
      <c r="E44" s="4">
        <v>5</v>
      </c>
      <c r="F44" s="4">
        <v>5</v>
      </c>
    </row>
    <row r="45" spans="1:6" x14ac:dyDescent="0.2">
      <c r="A45" s="17"/>
      <c r="B45" s="4">
        <v>5</v>
      </c>
      <c r="C45" s="4">
        <v>5</v>
      </c>
      <c r="D45" s="4">
        <v>5</v>
      </c>
      <c r="E45" s="4">
        <v>5</v>
      </c>
      <c r="F45" s="4">
        <v>5</v>
      </c>
    </row>
    <row r="46" spans="1:6" x14ac:dyDescent="0.2">
      <c r="A46" s="17"/>
      <c r="B46" s="4">
        <v>4</v>
      </c>
      <c r="C46" s="4">
        <v>5</v>
      </c>
      <c r="D46" s="4">
        <v>5</v>
      </c>
      <c r="E46" s="4">
        <v>5</v>
      </c>
      <c r="F46" s="4">
        <v>5</v>
      </c>
    </row>
    <row r="47" spans="1:6" x14ac:dyDescent="0.2">
      <c r="A47" s="17"/>
      <c r="B47" s="4">
        <v>5</v>
      </c>
      <c r="C47" s="4">
        <v>5</v>
      </c>
      <c r="D47" s="4">
        <v>5</v>
      </c>
      <c r="E47" s="4">
        <v>5</v>
      </c>
      <c r="F47" s="4">
        <v>5</v>
      </c>
    </row>
    <row r="48" spans="1:6" x14ac:dyDescent="0.2">
      <c r="A48" s="17"/>
      <c r="B48" s="4">
        <v>5</v>
      </c>
      <c r="C48" s="4">
        <v>5</v>
      </c>
      <c r="D48" s="4">
        <v>3</v>
      </c>
      <c r="E48" s="4">
        <v>5</v>
      </c>
      <c r="F48" s="4">
        <v>4</v>
      </c>
    </row>
    <row r="49" spans="1:6" x14ac:dyDescent="0.2">
      <c r="A49" s="17"/>
      <c r="B49" s="4">
        <v>4</v>
      </c>
      <c r="C49" s="4">
        <v>5</v>
      </c>
      <c r="D49" s="4">
        <v>4</v>
      </c>
      <c r="E49" s="4">
        <v>4</v>
      </c>
      <c r="F49" s="4">
        <v>4</v>
      </c>
    </row>
    <row r="50" spans="1:6" x14ac:dyDescent="0.2">
      <c r="A50" s="17"/>
      <c r="B50" s="4">
        <v>4</v>
      </c>
      <c r="C50" s="4">
        <v>4</v>
      </c>
      <c r="D50" s="4">
        <v>3</v>
      </c>
      <c r="E50" s="4">
        <v>4</v>
      </c>
      <c r="F50" s="4">
        <v>4</v>
      </c>
    </row>
    <row r="51" spans="1:6" x14ac:dyDescent="0.2">
      <c r="A51" s="17"/>
      <c r="B51" s="4">
        <v>5</v>
      </c>
      <c r="C51" s="4">
        <v>5</v>
      </c>
      <c r="D51" s="4">
        <v>5</v>
      </c>
      <c r="E51" s="4">
        <v>5</v>
      </c>
      <c r="F51" s="4">
        <v>5</v>
      </c>
    </row>
    <row r="52" spans="1:6" x14ac:dyDescent="0.2">
      <c r="A52" s="17"/>
      <c r="B52" s="4">
        <v>5</v>
      </c>
      <c r="C52" s="4">
        <v>5</v>
      </c>
      <c r="D52" s="4">
        <v>5</v>
      </c>
      <c r="E52" s="4">
        <v>5</v>
      </c>
      <c r="F52" s="4">
        <v>5</v>
      </c>
    </row>
    <row r="53" spans="1:6" x14ac:dyDescent="0.2">
      <c r="A53" s="17" t="s">
        <v>254</v>
      </c>
      <c r="B53" s="3">
        <v>5</v>
      </c>
      <c r="C53" s="3">
        <v>5</v>
      </c>
      <c r="D53" s="3">
        <v>5</v>
      </c>
      <c r="E53" s="3">
        <v>5</v>
      </c>
      <c r="F53" s="3">
        <v>5</v>
      </c>
    </row>
    <row r="54" spans="1:6" x14ac:dyDescent="0.2">
      <c r="A54" s="17"/>
      <c r="B54" s="3">
        <v>5</v>
      </c>
      <c r="C54" s="3">
        <v>4</v>
      </c>
      <c r="D54" s="3">
        <v>4</v>
      </c>
      <c r="E54" s="3">
        <v>4</v>
      </c>
      <c r="F54" s="3">
        <v>4</v>
      </c>
    </row>
    <row r="55" spans="1:6" x14ac:dyDescent="0.2">
      <c r="A55" s="17"/>
      <c r="B55" s="3">
        <v>5</v>
      </c>
      <c r="C55" s="3">
        <v>5</v>
      </c>
      <c r="D55" s="3">
        <v>5</v>
      </c>
      <c r="E55" s="3">
        <v>5</v>
      </c>
      <c r="F55" s="3">
        <v>5</v>
      </c>
    </row>
    <row r="56" spans="1:6" x14ac:dyDescent="0.2">
      <c r="A56" s="17"/>
      <c r="B56" s="3">
        <v>4</v>
      </c>
      <c r="C56" s="3">
        <v>5</v>
      </c>
      <c r="D56" s="3">
        <v>5</v>
      </c>
      <c r="E56" s="3">
        <v>5</v>
      </c>
      <c r="F56" s="3">
        <v>4</v>
      </c>
    </row>
    <row r="57" spans="1:6" x14ac:dyDescent="0.2">
      <c r="A57" s="17"/>
      <c r="B57" s="3">
        <v>5</v>
      </c>
      <c r="C57" s="3">
        <v>5</v>
      </c>
      <c r="D57" s="3">
        <v>4</v>
      </c>
      <c r="E57" s="3">
        <v>4</v>
      </c>
      <c r="F57" s="3">
        <v>4</v>
      </c>
    </row>
    <row r="58" spans="1:6" x14ac:dyDescent="0.2">
      <c r="A58" s="17"/>
      <c r="B58" s="3">
        <v>5</v>
      </c>
      <c r="C58" s="3">
        <v>5</v>
      </c>
      <c r="D58" s="3">
        <v>5</v>
      </c>
      <c r="E58" s="3">
        <v>4</v>
      </c>
      <c r="F58" s="3">
        <v>5</v>
      </c>
    </row>
    <row r="59" spans="1:6" x14ac:dyDescent="0.2">
      <c r="A59" s="17"/>
      <c r="B59" s="3">
        <v>4</v>
      </c>
      <c r="C59" s="3">
        <v>5</v>
      </c>
      <c r="D59" s="3">
        <v>4</v>
      </c>
      <c r="E59" s="3">
        <v>4</v>
      </c>
      <c r="F59" s="3">
        <v>5</v>
      </c>
    </row>
    <row r="60" spans="1:6" x14ac:dyDescent="0.2">
      <c r="A60" s="17"/>
      <c r="B60" s="3">
        <v>5</v>
      </c>
      <c r="C60" s="3">
        <v>5</v>
      </c>
      <c r="D60" s="3">
        <v>5</v>
      </c>
      <c r="E60" s="3">
        <v>5</v>
      </c>
      <c r="F60" s="3">
        <v>5</v>
      </c>
    </row>
  </sheetData>
  <mergeCells count="7">
    <mergeCell ref="A53:A60"/>
    <mergeCell ref="A10:A17"/>
    <mergeCell ref="A18:A26"/>
    <mergeCell ref="A2:A9"/>
    <mergeCell ref="A27:A35"/>
    <mergeCell ref="A36:A43"/>
    <mergeCell ref="A44:A5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8C78A-4F02-6042-87DE-361F6497AF67}">
  <dimension ref="A1:Q60"/>
  <sheetViews>
    <sheetView workbookViewId="0">
      <selection activeCell="K2" sqref="K2"/>
    </sheetView>
  </sheetViews>
  <sheetFormatPr baseColWidth="10" defaultRowHeight="16" x14ac:dyDescent="0.2"/>
  <sheetData>
    <row r="1" spans="1:11" x14ac:dyDescent="0.2">
      <c r="A1" s="5"/>
      <c r="B1" t="s">
        <v>243</v>
      </c>
      <c r="C1" t="s">
        <v>244</v>
      </c>
      <c r="D1" t="s">
        <v>245</v>
      </c>
      <c r="E1" t="s">
        <v>246</v>
      </c>
      <c r="F1" t="s">
        <v>247</v>
      </c>
      <c r="G1" t="s">
        <v>284</v>
      </c>
      <c r="H1" t="s">
        <v>285</v>
      </c>
    </row>
    <row r="2" spans="1:11" x14ac:dyDescent="0.2">
      <c r="A2" s="17" t="s">
        <v>251</v>
      </c>
      <c r="B2" s="4">
        <v>4</v>
      </c>
      <c r="C2" s="4">
        <v>4</v>
      </c>
      <c r="D2" s="4">
        <v>4</v>
      </c>
      <c r="E2" s="4">
        <v>4</v>
      </c>
      <c r="F2" s="4">
        <v>4</v>
      </c>
      <c r="G2">
        <f t="shared" ref="G2:G10" si="0">$J$27+$J$28*B2+$J$29*C2+$J$30*D2+$J$31*E2</f>
        <v>4.0941624270769843</v>
      </c>
      <c r="H2">
        <f>(ABS(F2-G2))^2</f>
        <v>8.8665626730283862E-3</v>
      </c>
      <c r="J2" t="s">
        <v>283</v>
      </c>
      <c r="K2">
        <f>SQRT(AVERAGE(H2:H10))</f>
        <v>0.35316079071070444</v>
      </c>
    </row>
    <row r="3" spans="1:11" x14ac:dyDescent="0.2">
      <c r="A3" s="17"/>
      <c r="B3" s="4">
        <v>5</v>
      </c>
      <c r="C3" s="4">
        <v>5</v>
      </c>
      <c r="D3" s="4">
        <v>4</v>
      </c>
      <c r="E3" s="4">
        <v>4</v>
      </c>
      <c r="F3" s="4">
        <v>5</v>
      </c>
      <c r="G3">
        <f t="shared" si="0"/>
        <v>4.2281106564004327</v>
      </c>
      <c r="H3">
        <f t="shared" ref="H3:H10" si="1">(ABS(F3-G3))^2</f>
        <v>0.5958131587625709</v>
      </c>
    </row>
    <row r="4" spans="1:11" x14ac:dyDescent="0.2">
      <c r="A4" s="17"/>
      <c r="B4" s="4">
        <v>4</v>
      </c>
      <c r="C4" s="4">
        <v>4</v>
      </c>
      <c r="D4" s="4">
        <v>4</v>
      </c>
      <c r="E4" s="4">
        <v>4</v>
      </c>
      <c r="F4" s="4">
        <v>4</v>
      </c>
      <c r="G4">
        <f t="shared" si="0"/>
        <v>4.0941624270769843</v>
      </c>
      <c r="H4">
        <f t="shared" si="1"/>
        <v>8.8665626730283862E-3</v>
      </c>
    </row>
    <row r="5" spans="1:11" x14ac:dyDescent="0.2">
      <c r="A5" s="17"/>
      <c r="B5" s="4">
        <v>4</v>
      </c>
      <c r="C5" s="4">
        <v>5</v>
      </c>
      <c r="D5" s="4">
        <v>5</v>
      </c>
      <c r="E5" s="4">
        <v>4</v>
      </c>
      <c r="F5" s="4">
        <v>4</v>
      </c>
      <c r="G5">
        <f t="shared" si="0"/>
        <v>4.6649397335588922</v>
      </c>
      <c r="H5">
        <f t="shared" si="1"/>
        <v>0.44214484926537062</v>
      </c>
    </row>
    <row r="6" spans="1:11" x14ac:dyDescent="0.2">
      <c r="A6" s="17"/>
      <c r="B6" s="4">
        <v>4</v>
      </c>
      <c r="C6" s="4">
        <v>4</v>
      </c>
      <c r="D6" s="4">
        <v>4</v>
      </c>
      <c r="E6" s="4">
        <v>4</v>
      </c>
      <c r="F6" s="4">
        <v>4</v>
      </c>
      <c r="G6">
        <f t="shared" si="0"/>
        <v>4.0941624270769843</v>
      </c>
      <c r="H6">
        <f t="shared" si="1"/>
        <v>8.8665626730283862E-3</v>
      </c>
    </row>
    <row r="7" spans="1:11" x14ac:dyDescent="0.2">
      <c r="A7" s="17"/>
      <c r="B7" s="4">
        <v>5</v>
      </c>
      <c r="C7" s="4">
        <v>5</v>
      </c>
      <c r="D7" s="4">
        <v>5</v>
      </c>
      <c r="E7" s="4">
        <v>5</v>
      </c>
      <c r="F7" s="4">
        <v>5</v>
      </c>
      <c r="G7">
        <f t="shared" si="0"/>
        <v>4.9240916497705021</v>
      </c>
      <c r="H7">
        <f t="shared" si="1"/>
        <v>5.7620776345641191E-3</v>
      </c>
    </row>
    <row r="8" spans="1:11" x14ac:dyDescent="0.2">
      <c r="A8" s="17"/>
      <c r="B8" s="4">
        <v>5</v>
      </c>
      <c r="C8" s="4">
        <v>5</v>
      </c>
      <c r="D8" s="4">
        <v>5</v>
      </c>
      <c r="E8" s="4">
        <v>5</v>
      </c>
      <c r="F8" s="4">
        <v>5</v>
      </c>
      <c r="G8">
        <f t="shared" si="0"/>
        <v>4.9240916497705021</v>
      </c>
      <c r="H8">
        <f t="shared" si="1"/>
        <v>5.7620776345641191E-3</v>
      </c>
    </row>
    <row r="9" spans="1:11" x14ac:dyDescent="0.2">
      <c r="A9" s="17"/>
      <c r="B9" s="4">
        <v>5</v>
      </c>
      <c r="C9" s="4">
        <v>5</v>
      </c>
      <c r="D9" s="4">
        <v>5</v>
      </c>
      <c r="E9" s="4">
        <v>5</v>
      </c>
      <c r="F9" s="4">
        <v>5</v>
      </c>
      <c r="G9">
        <f t="shared" si="0"/>
        <v>4.9240916497705021</v>
      </c>
      <c r="H9">
        <f t="shared" si="1"/>
        <v>5.7620776345641191E-3</v>
      </c>
    </row>
    <row r="10" spans="1:11" x14ac:dyDescent="0.2">
      <c r="A10" s="17"/>
      <c r="B10" s="4">
        <v>4</v>
      </c>
      <c r="C10" s="4">
        <v>4</v>
      </c>
      <c r="D10" s="4">
        <v>4</v>
      </c>
      <c r="E10" s="4">
        <v>3</v>
      </c>
      <c r="F10" s="4">
        <v>4</v>
      </c>
      <c r="G10">
        <f t="shared" si="0"/>
        <v>3.7983593098901647</v>
      </c>
      <c r="H10">
        <f t="shared" si="1"/>
        <v>4.065896790797064E-2</v>
      </c>
    </row>
    <row r="11" spans="1:11" x14ac:dyDescent="0.2">
      <c r="A11" s="17" t="s">
        <v>248</v>
      </c>
      <c r="B11" s="3">
        <v>5</v>
      </c>
      <c r="C11" s="3">
        <v>5</v>
      </c>
      <c r="D11" s="3">
        <v>5</v>
      </c>
      <c r="E11" s="3">
        <v>5</v>
      </c>
      <c r="F11" s="3">
        <v>5</v>
      </c>
      <c r="I11" t="s">
        <v>255</v>
      </c>
    </row>
    <row r="12" spans="1:11" ht="17" thickBot="1" x14ac:dyDescent="0.25">
      <c r="A12" s="17"/>
      <c r="B12" s="3">
        <v>5</v>
      </c>
      <c r="C12" s="3">
        <v>5</v>
      </c>
      <c r="D12" s="3">
        <v>5</v>
      </c>
      <c r="E12" s="3">
        <v>5</v>
      </c>
      <c r="F12" s="3">
        <v>5</v>
      </c>
    </row>
    <row r="13" spans="1:11" x14ac:dyDescent="0.2">
      <c r="A13" s="17"/>
      <c r="B13" s="3">
        <v>5</v>
      </c>
      <c r="C13" s="3">
        <v>5</v>
      </c>
      <c r="D13" s="3">
        <v>5</v>
      </c>
      <c r="E13" s="3">
        <v>5</v>
      </c>
      <c r="F13" s="3">
        <v>5</v>
      </c>
      <c r="I13" s="8" t="s">
        <v>256</v>
      </c>
      <c r="J13" s="8"/>
    </row>
    <row r="14" spans="1:11" x14ac:dyDescent="0.2">
      <c r="A14" s="17"/>
      <c r="B14" s="3">
        <v>5</v>
      </c>
      <c r="C14" s="3">
        <v>5</v>
      </c>
      <c r="D14" s="3">
        <v>5</v>
      </c>
      <c r="E14" s="3">
        <v>5</v>
      </c>
      <c r="F14" s="3">
        <v>5</v>
      </c>
      <c r="I14" t="s">
        <v>257</v>
      </c>
      <c r="J14">
        <v>0.89431046283342441</v>
      </c>
    </row>
    <row r="15" spans="1:11" x14ac:dyDescent="0.2">
      <c r="A15" s="17"/>
      <c r="B15" s="3">
        <v>5</v>
      </c>
      <c r="C15" s="3">
        <v>5</v>
      </c>
      <c r="D15" s="3">
        <v>4</v>
      </c>
      <c r="E15" s="3">
        <v>5</v>
      </c>
      <c r="F15" s="3">
        <v>4</v>
      </c>
      <c r="I15" t="s">
        <v>258</v>
      </c>
      <c r="J15">
        <v>0.79979120393333369</v>
      </c>
    </row>
    <row r="16" spans="1:11" x14ac:dyDescent="0.2">
      <c r="A16" s="17"/>
      <c r="B16" s="3">
        <v>5</v>
      </c>
      <c r="C16" s="3">
        <v>5</v>
      </c>
      <c r="D16" s="3">
        <v>5</v>
      </c>
      <c r="E16" s="3">
        <v>5</v>
      </c>
      <c r="F16" s="3">
        <v>5</v>
      </c>
      <c r="I16" t="s">
        <v>259</v>
      </c>
      <c r="J16">
        <v>0.78199486650518557</v>
      </c>
    </row>
    <row r="17" spans="1:17" x14ac:dyDescent="0.2">
      <c r="A17" s="17"/>
      <c r="B17" s="3">
        <v>5</v>
      </c>
      <c r="C17" s="3">
        <v>5</v>
      </c>
      <c r="D17" s="3">
        <v>5</v>
      </c>
      <c r="E17" s="3">
        <v>5</v>
      </c>
      <c r="F17" s="3">
        <v>5</v>
      </c>
      <c r="I17" t="s">
        <v>260</v>
      </c>
      <c r="J17">
        <v>0.30185633608078916</v>
      </c>
    </row>
    <row r="18" spans="1:17" ht="17" thickBot="1" x14ac:dyDescent="0.25">
      <c r="A18" s="17"/>
      <c r="B18" s="3">
        <v>4</v>
      </c>
      <c r="C18" s="3">
        <v>5</v>
      </c>
      <c r="D18" s="3">
        <v>4</v>
      </c>
      <c r="E18" s="3">
        <v>5</v>
      </c>
      <c r="F18" s="3">
        <v>5</v>
      </c>
      <c r="I18" s="6" t="s">
        <v>261</v>
      </c>
      <c r="J18" s="6">
        <v>50</v>
      </c>
    </row>
    <row r="19" spans="1:17" x14ac:dyDescent="0.2">
      <c r="A19" s="17" t="s">
        <v>249</v>
      </c>
      <c r="B19" s="4">
        <v>4</v>
      </c>
      <c r="C19" s="4">
        <v>4</v>
      </c>
      <c r="D19" s="4">
        <v>3</v>
      </c>
      <c r="E19" s="4">
        <v>4</v>
      </c>
      <c r="F19" s="4">
        <v>4</v>
      </c>
    </row>
    <row r="20" spans="1:17" ht="17" thickBot="1" x14ac:dyDescent="0.25">
      <c r="A20" s="17"/>
      <c r="B20" s="4">
        <v>5</v>
      </c>
      <c r="C20" s="4">
        <v>5</v>
      </c>
      <c r="D20" s="4">
        <v>5</v>
      </c>
      <c r="E20" s="4">
        <v>5</v>
      </c>
      <c r="F20" s="4">
        <v>5</v>
      </c>
      <c r="I20" t="s">
        <v>262</v>
      </c>
    </row>
    <row r="21" spans="1:17" x14ac:dyDescent="0.2">
      <c r="A21" s="17"/>
      <c r="B21" s="4">
        <v>5</v>
      </c>
      <c r="C21" s="4">
        <v>5</v>
      </c>
      <c r="D21" s="4">
        <v>4</v>
      </c>
      <c r="E21" s="4">
        <v>5</v>
      </c>
      <c r="F21" s="4">
        <v>4</v>
      </c>
      <c r="I21" s="7"/>
      <c r="J21" s="7" t="s">
        <v>267</v>
      </c>
      <c r="K21" s="7" t="s">
        <v>268</v>
      </c>
      <c r="L21" s="7" t="s">
        <v>269</v>
      </c>
      <c r="M21" s="7" t="s">
        <v>270</v>
      </c>
      <c r="N21" s="7" t="s">
        <v>271</v>
      </c>
    </row>
    <row r="22" spans="1:17" x14ac:dyDescent="0.2">
      <c r="A22" s="17"/>
      <c r="B22" s="4">
        <v>5</v>
      </c>
      <c r="C22" s="4">
        <v>5</v>
      </c>
      <c r="D22" s="4">
        <v>5</v>
      </c>
      <c r="E22" s="4">
        <v>4</v>
      </c>
      <c r="F22" s="4">
        <v>5</v>
      </c>
      <c r="I22" t="s">
        <v>263</v>
      </c>
      <c r="J22">
        <v>4</v>
      </c>
      <c r="K22">
        <v>16.379723856554662</v>
      </c>
      <c r="L22">
        <v>4.0949309641386655</v>
      </c>
      <c r="M22">
        <v>44.941337348904128</v>
      </c>
      <c r="N22">
        <v>3.6476836873655062E-15</v>
      </c>
    </row>
    <row r="23" spans="1:17" x14ac:dyDescent="0.2">
      <c r="A23" s="17"/>
      <c r="B23" s="4">
        <v>5</v>
      </c>
      <c r="C23" s="4">
        <v>5</v>
      </c>
      <c r="D23" s="4">
        <v>5</v>
      </c>
      <c r="E23" s="4">
        <v>5</v>
      </c>
      <c r="F23" s="4">
        <v>5</v>
      </c>
      <c r="I23" t="s">
        <v>264</v>
      </c>
      <c r="J23">
        <v>45</v>
      </c>
      <c r="K23">
        <v>4.100276143445325</v>
      </c>
      <c r="L23">
        <v>9.1117247632118328E-2</v>
      </c>
    </row>
    <row r="24" spans="1:17" ht="17" thickBot="1" x14ac:dyDescent="0.25">
      <c r="A24" s="17"/>
      <c r="B24" s="4">
        <v>4</v>
      </c>
      <c r="C24" s="4">
        <v>2</v>
      </c>
      <c r="D24" s="4">
        <v>2</v>
      </c>
      <c r="E24" s="4">
        <v>4</v>
      </c>
      <c r="F24" s="4">
        <v>3</v>
      </c>
      <c r="I24" s="6" t="s">
        <v>265</v>
      </c>
      <c r="J24" s="6">
        <v>49</v>
      </c>
      <c r="K24" s="6">
        <v>20.479999999999986</v>
      </c>
      <c r="L24" s="6"/>
      <c r="M24" s="6"/>
      <c r="N24" s="6"/>
    </row>
    <row r="25" spans="1:17" ht="17" thickBot="1" x14ac:dyDescent="0.25">
      <c r="A25" s="17"/>
      <c r="B25" s="4">
        <v>4</v>
      </c>
      <c r="C25" s="4">
        <v>4</v>
      </c>
      <c r="D25" s="4">
        <v>4</v>
      </c>
      <c r="E25" s="4">
        <v>3</v>
      </c>
      <c r="F25" s="4">
        <v>4</v>
      </c>
    </row>
    <row r="26" spans="1:17" x14ac:dyDescent="0.2">
      <c r="A26" s="17"/>
      <c r="B26" s="4">
        <v>5</v>
      </c>
      <c r="C26" s="4">
        <v>5</v>
      </c>
      <c r="D26" s="4">
        <v>5</v>
      </c>
      <c r="E26" s="4">
        <v>5</v>
      </c>
      <c r="F26" s="4">
        <v>5</v>
      </c>
      <c r="I26" s="7"/>
      <c r="J26" s="7" t="s">
        <v>272</v>
      </c>
      <c r="K26" s="7" t="s">
        <v>260</v>
      </c>
      <c r="L26" s="7" t="s">
        <v>273</v>
      </c>
      <c r="M26" s="7" t="s">
        <v>274</v>
      </c>
      <c r="N26" s="7" t="s">
        <v>275</v>
      </c>
      <c r="O26" s="7" t="s">
        <v>276</v>
      </c>
      <c r="P26" s="7" t="s">
        <v>277</v>
      </c>
      <c r="Q26" s="7" t="s">
        <v>278</v>
      </c>
    </row>
    <row r="27" spans="1:17" x14ac:dyDescent="0.2">
      <c r="A27" s="17"/>
      <c r="B27" s="4">
        <v>5</v>
      </c>
      <c r="C27" s="4">
        <v>5</v>
      </c>
      <c r="D27" s="4">
        <v>5</v>
      </c>
      <c r="E27" s="4">
        <v>5</v>
      </c>
      <c r="F27" s="4">
        <v>5</v>
      </c>
      <c r="I27" t="s">
        <v>266</v>
      </c>
      <c r="J27">
        <v>0.77444553630291124</v>
      </c>
      <c r="K27">
        <v>0.36025580669033597</v>
      </c>
      <c r="L27">
        <v>2.149710072455818</v>
      </c>
      <c r="M27">
        <v>3.699052720345021E-2</v>
      </c>
      <c r="N27">
        <v>4.8853095183902719E-2</v>
      </c>
      <c r="O27">
        <v>1.5000379774219197</v>
      </c>
      <c r="P27">
        <v>4.8853095183902719E-2</v>
      </c>
      <c r="Q27">
        <v>1.5000379774219197</v>
      </c>
    </row>
    <row r="28" spans="1:17" x14ac:dyDescent="0.2">
      <c r="A28" s="17" t="s">
        <v>250</v>
      </c>
      <c r="B28" s="3">
        <v>5</v>
      </c>
      <c r="C28" s="3">
        <v>4</v>
      </c>
      <c r="D28" s="3">
        <v>4</v>
      </c>
      <c r="E28" s="3">
        <v>4</v>
      </c>
      <c r="F28" s="3">
        <v>4</v>
      </c>
      <c r="I28" t="s">
        <v>279</v>
      </c>
      <c r="J28">
        <v>-3.6651200975209131E-2</v>
      </c>
      <c r="K28">
        <v>0.1143493213937611</v>
      </c>
      <c r="L28">
        <v>-0.32051961943001805</v>
      </c>
      <c r="M28">
        <v>0.75005815484080673</v>
      </c>
      <c r="N28">
        <v>-0.26696255671060837</v>
      </c>
      <c r="O28">
        <v>0.19366015476019008</v>
      </c>
      <c r="P28">
        <v>-0.26696255671060837</v>
      </c>
      <c r="Q28">
        <v>0.19366015476019008</v>
      </c>
    </row>
    <row r="29" spans="1:17" x14ac:dyDescent="0.2">
      <c r="A29" s="17"/>
      <c r="B29" s="3">
        <v>5</v>
      </c>
      <c r="C29" s="3">
        <v>5</v>
      </c>
      <c r="D29" s="3">
        <v>5</v>
      </c>
      <c r="E29" s="3">
        <v>5</v>
      </c>
      <c r="F29" s="3">
        <v>5</v>
      </c>
      <c r="I29" t="s">
        <v>280</v>
      </c>
      <c r="J29">
        <v>0.17059943029865779</v>
      </c>
      <c r="K29">
        <v>0.10775215471702172</v>
      </c>
      <c r="L29">
        <v>1.5832577153253717</v>
      </c>
      <c r="M29">
        <v>0.12036638090940065</v>
      </c>
      <c r="N29">
        <v>-4.6424549676108866E-2</v>
      </c>
      <c r="O29">
        <v>0.38762341027342445</v>
      </c>
      <c r="P29">
        <v>-4.6424549676108866E-2</v>
      </c>
      <c r="Q29">
        <v>0.38762341027342445</v>
      </c>
    </row>
    <row r="30" spans="1:17" x14ac:dyDescent="0.2">
      <c r="A30" s="17"/>
      <c r="B30" s="3">
        <v>4</v>
      </c>
      <c r="C30" s="3">
        <v>3</v>
      </c>
      <c r="D30" s="3">
        <v>3</v>
      </c>
      <c r="E30" s="3">
        <v>3</v>
      </c>
      <c r="F30" s="3">
        <v>3</v>
      </c>
      <c r="I30" t="s">
        <v>281</v>
      </c>
      <c r="J30">
        <v>0.40017787618324996</v>
      </c>
      <c r="K30">
        <v>8.9272887237349011E-2</v>
      </c>
      <c r="L30">
        <v>4.4826362019557031</v>
      </c>
      <c r="M30">
        <v>5.0352731501752179E-5</v>
      </c>
      <c r="N30">
        <v>0.22037305146332772</v>
      </c>
      <c r="O30">
        <v>0.57998270090317217</v>
      </c>
      <c r="P30">
        <v>0.22037305146332772</v>
      </c>
      <c r="Q30">
        <v>0.57998270090317217</v>
      </c>
    </row>
    <row r="31" spans="1:17" ht="17" thickBot="1" x14ac:dyDescent="0.25">
      <c r="A31" s="17"/>
      <c r="B31" s="3">
        <v>5</v>
      </c>
      <c r="C31" s="3">
        <v>5</v>
      </c>
      <c r="D31" s="3">
        <v>5</v>
      </c>
      <c r="E31" s="3">
        <v>5</v>
      </c>
      <c r="F31" s="3">
        <v>5</v>
      </c>
      <c r="I31" s="6" t="s">
        <v>282</v>
      </c>
      <c r="J31" s="6">
        <v>0.29580311718681962</v>
      </c>
      <c r="K31" s="6">
        <v>0.10562557905031697</v>
      </c>
      <c r="L31" s="6">
        <v>2.8004875319633284</v>
      </c>
      <c r="M31" s="6">
        <v>7.4930895853792803E-3</v>
      </c>
      <c r="N31" s="6">
        <v>8.3062280469074545E-2</v>
      </c>
      <c r="O31" s="6">
        <v>0.50854395390456464</v>
      </c>
      <c r="P31" s="6">
        <v>8.3062280469074545E-2</v>
      </c>
      <c r="Q31" s="6">
        <v>0.50854395390456464</v>
      </c>
    </row>
    <row r="32" spans="1:17" x14ac:dyDescent="0.2">
      <c r="A32" s="17"/>
      <c r="B32" s="3">
        <v>4</v>
      </c>
      <c r="C32" s="3">
        <v>4</v>
      </c>
      <c r="D32" s="3">
        <v>4</v>
      </c>
      <c r="E32" s="3">
        <v>4</v>
      </c>
      <c r="F32" s="3">
        <v>4</v>
      </c>
    </row>
    <row r="33" spans="1:6" x14ac:dyDescent="0.2">
      <c r="A33" s="17"/>
      <c r="B33" s="3">
        <v>4</v>
      </c>
      <c r="C33" s="3">
        <v>4</v>
      </c>
      <c r="D33" s="3">
        <v>4</v>
      </c>
      <c r="E33" s="3">
        <v>4</v>
      </c>
      <c r="F33" s="3">
        <v>4</v>
      </c>
    </row>
    <row r="34" spans="1:6" x14ac:dyDescent="0.2">
      <c r="A34" s="17"/>
      <c r="B34" s="3">
        <v>5</v>
      </c>
      <c r="C34" s="3">
        <v>5</v>
      </c>
      <c r="D34" s="3">
        <v>5</v>
      </c>
      <c r="E34" s="3">
        <v>5</v>
      </c>
      <c r="F34" s="3">
        <v>5</v>
      </c>
    </row>
    <row r="35" spans="1:6" x14ac:dyDescent="0.2">
      <c r="A35" s="17"/>
      <c r="B35" s="3">
        <v>5</v>
      </c>
      <c r="C35" s="3">
        <v>5</v>
      </c>
      <c r="D35" s="3">
        <v>5</v>
      </c>
      <c r="E35" s="3">
        <v>5</v>
      </c>
      <c r="F35" s="3">
        <v>5</v>
      </c>
    </row>
    <row r="36" spans="1:6" x14ac:dyDescent="0.2">
      <c r="A36" s="17" t="s">
        <v>252</v>
      </c>
      <c r="B36" s="3">
        <v>3</v>
      </c>
      <c r="C36" s="3">
        <v>3</v>
      </c>
      <c r="D36" s="3">
        <v>3</v>
      </c>
      <c r="E36" s="3">
        <v>3</v>
      </c>
      <c r="F36" s="3">
        <v>3</v>
      </c>
    </row>
    <row r="37" spans="1:6" x14ac:dyDescent="0.2">
      <c r="A37" s="17"/>
      <c r="B37" s="3">
        <v>4</v>
      </c>
      <c r="C37" s="3">
        <v>4</v>
      </c>
      <c r="D37" s="3">
        <v>5</v>
      </c>
      <c r="E37" s="3">
        <v>4</v>
      </c>
      <c r="F37" s="3">
        <v>4</v>
      </c>
    </row>
    <row r="38" spans="1:6" x14ac:dyDescent="0.2">
      <c r="A38" s="17"/>
      <c r="B38" s="3">
        <v>5</v>
      </c>
      <c r="C38" s="3">
        <v>5</v>
      </c>
      <c r="D38" s="3">
        <v>4</v>
      </c>
      <c r="E38" s="3">
        <v>4</v>
      </c>
      <c r="F38" s="3">
        <v>4</v>
      </c>
    </row>
    <row r="39" spans="1:6" x14ac:dyDescent="0.2">
      <c r="A39" s="17"/>
      <c r="B39" s="3">
        <v>4</v>
      </c>
      <c r="C39" s="3">
        <v>5</v>
      </c>
      <c r="D39" s="3">
        <v>4</v>
      </c>
      <c r="E39" s="3">
        <v>4</v>
      </c>
      <c r="F39" s="3">
        <v>4</v>
      </c>
    </row>
    <row r="40" spans="1:6" x14ac:dyDescent="0.2">
      <c r="A40" s="17"/>
      <c r="B40" s="3">
        <v>4</v>
      </c>
      <c r="C40" s="3">
        <v>5</v>
      </c>
      <c r="D40" s="3">
        <v>5</v>
      </c>
      <c r="E40" s="3">
        <v>4</v>
      </c>
      <c r="F40" s="3">
        <v>5</v>
      </c>
    </row>
    <row r="41" spans="1:6" x14ac:dyDescent="0.2">
      <c r="A41" s="17"/>
      <c r="B41" s="3">
        <v>5</v>
      </c>
      <c r="C41" s="3">
        <v>5</v>
      </c>
      <c r="D41" s="3">
        <v>5</v>
      </c>
      <c r="E41" s="3">
        <v>4</v>
      </c>
      <c r="F41" s="3">
        <v>4</v>
      </c>
    </row>
    <row r="42" spans="1:6" x14ac:dyDescent="0.2">
      <c r="A42" s="17"/>
      <c r="B42" s="3">
        <v>3</v>
      </c>
      <c r="C42" s="3">
        <v>2</v>
      </c>
      <c r="D42" s="3">
        <v>2</v>
      </c>
      <c r="E42" s="3">
        <v>3</v>
      </c>
      <c r="F42" s="3">
        <v>3</v>
      </c>
    </row>
    <row r="43" spans="1:6" x14ac:dyDescent="0.2">
      <c r="A43" s="17"/>
      <c r="B43" s="3">
        <v>4</v>
      </c>
      <c r="C43" s="3">
        <v>4</v>
      </c>
      <c r="D43" s="3">
        <v>4</v>
      </c>
      <c r="E43" s="3">
        <v>4</v>
      </c>
      <c r="F43" s="3">
        <v>4</v>
      </c>
    </row>
    <row r="44" spans="1:6" x14ac:dyDescent="0.2">
      <c r="A44" s="17" t="s">
        <v>253</v>
      </c>
      <c r="B44" s="4">
        <v>5</v>
      </c>
      <c r="C44" s="4">
        <v>5</v>
      </c>
      <c r="D44" s="4">
        <v>5</v>
      </c>
      <c r="E44" s="4">
        <v>5</v>
      </c>
      <c r="F44" s="4">
        <v>5</v>
      </c>
    </row>
    <row r="45" spans="1:6" x14ac:dyDescent="0.2">
      <c r="A45" s="17"/>
      <c r="B45" s="4">
        <v>5</v>
      </c>
      <c r="C45" s="4">
        <v>5</v>
      </c>
      <c r="D45" s="4">
        <v>5</v>
      </c>
      <c r="E45" s="4">
        <v>5</v>
      </c>
      <c r="F45" s="4">
        <v>5</v>
      </c>
    </row>
    <row r="46" spans="1:6" x14ac:dyDescent="0.2">
      <c r="A46" s="17"/>
      <c r="B46" s="4">
        <v>4</v>
      </c>
      <c r="C46" s="4">
        <v>5</v>
      </c>
      <c r="D46" s="4">
        <v>5</v>
      </c>
      <c r="E46" s="4">
        <v>5</v>
      </c>
      <c r="F46" s="4">
        <v>5</v>
      </c>
    </row>
    <row r="47" spans="1:6" x14ac:dyDescent="0.2">
      <c r="A47" s="17"/>
      <c r="B47" s="4">
        <v>5</v>
      </c>
      <c r="C47" s="4">
        <v>5</v>
      </c>
      <c r="D47" s="4">
        <v>5</v>
      </c>
      <c r="E47" s="4">
        <v>5</v>
      </c>
      <c r="F47" s="4">
        <v>5</v>
      </c>
    </row>
    <row r="48" spans="1:6" x14ac:dyDescent="0.2">
      <c r="A48" s="17"/>
      <c r="B48" s="4">
        <v>5</v>
      </c>
      <c r="C48" s="4">
        <v>5</v>
      </c>
      <c r="D48" s="4">
        <v>3</v>
      </c>
      <c r="E48" s="4">
        <v>5</v>
      </c>
      <c r="F48" s="4">
        <v>4</v>
      </c>
    </row>
    <row r="49" spans="1:6" x14ac:dyDescent="0.2">
      <c r="A49" s="17"/>
      <c r="B49" s="4">
        <v>4</v>
      </c>
      <c r="C49" s="4">
        <v>5</v>
      </c>
      <c r="D49" s="4">
        <v>4</v>
      </c>
      <c r="E49" s="4">
        <v>4</v>
      </c>
      <c r="F49" s="4">
        <v>4</v>
      </c>
    </row>
    <row r="50" spans="1:6" x14ac:dyDescent="0.2">
      <c r="A50" s="17"/>
      <c r="B50" s="4">
        <v>4</v>
      </c>
      <c r="C50" s="4">
        <v>4</v>
      </c>
      <c r="D50" s="4">
        <v>3</v>
      </c>
      <c r="E50" s="4">
        <v>4</v>
      </c>
      <c r="F50" s="4">
        <v>4</v>
      </c>
    </row>
    <row r="51" spans="1:6" x14ac:dyDescent="0.2">
      <c r="A51" s="17"/>
      <c r="B51" s="4">
        <v>5</v>
      </c>
      <c r="C51" s="4">
        <v>5</v>
      </c>
      <c r="D51" s="4">
        <v>5</v>
      </c>
      <c r="E51" s="4">
        <v>5</v>
      </c>
      <c r="F51" s="4">
        <v>5</v>
      </c>
    </row>
    <row r="52" spans="1:6" x14ac:dyDescent="0.2">
      <c r="A52" s="17"/>
      <c r="B52" s="4">
        <v>5</v>
      </c>
      <c r="C52" s="4">
        <v>5</v>
      </c>
      <c r="D52" s="4">
        <v>5</v>
      </c>
      <c r="E52" s="4">
        <v>5</v>
      </c>
      <c r="F52" s="4">
        <v>5</v>
      </c>
    </row>
    <row r="53" spans="1:6" x14ac:dyDescent="0.2">
      <c r="A53" s="17" t="s">
        <v>254</v>
      </c>
      <c r="B53" s="3">
        <v>5</v>
      </c>
      <c r="C53" s="3">
        <v>5</v>
      </c>
      <c r="D53" s="3">
        <v>5</v>
      </c>
      <c r="E53" s="3">
        <v>5</v>
      </c>
      <c r="F53" s="3">
        <v>5</v>
      </c>
    </row>
    <row r="54" spans="1:6" x14ac:dyDescent="0.2">
      <c r="A54" s="17"/>
      <c r="B54" s="3">
        <v>5</v>
      </c>
      <c r="C54" s="3">
        <v>4</v>
      </c>
      <c r="D54" s="3">
        <v>4</v>
      </c>
      <c r="E54" s="3">
        <v>4</v>
      </c>
      <c r="F54" s="3">
        <v>4</v>
      </c>
    </row>
    <row r="55" spans="1:6" x14ac:dyDescent="0.2">
      <c r="A55" s="17"/>
      <c r="B55" s="3">
        <v>5</v>
      </c>
      <c r="C55" s="3">
        <v>5</v>
      </c>
      <c r="D55" s="3">
        <v>5</v>
      </c>
      <c r="E55" s="3">
        <v>5</v>
      </c>
      <c r="F55" s="3">
        <v>5</v>
      </c>
    </row>
    <row r="56" spans="1:6" x14ac:dyDescent="0.2">
      <c r="A56" s="17"/>
      <c r="B56" s="3">
        <v>4</v>
      </c>
      <c r="C56" s="3">
        <v>5</v>
      </c>
      <c r="D56" s="3">
        <v>5</v>
      </c>
      <c r="E56" s="3">
        <v>5</v>
      </c>
      <c r="F56" s="3">
        <v>4</v>
      </c>
    </row>
    <row r="57" spans="1:6" x14ac:dyDescent="0.2">
      <c r="A57" s="17"/>
      <c r="B57" s="3">
        <v>5</v>
      </c>
      <c r="C57" s="3">
        <v>5</v>
      </c>
      <c r="D57" s="3">
        <v>4</v>
      </c>
      <c r="E57" s="3">
        <v>4</v>
      </c>
      <c r="F57" s="3">
        <v>4</v>
      </c>
    </row>
    <row r="58" spans="1:6" x14ac:dyDescent="0.2">
      <c r="A58" s="17"/>
      <c r="B58" s="3">
        <v>5</v>
      </c>
      <c r="C58" s="3">
        <v>5</v>
      </c>
      <c r="D58" s="3">
        <v>5</v>
      </c>
      <c r="E58" s="3">
        <v>4</v>
      </c>
      <c r="F58" s="3">
        <v>5</v>
      </c>
    </row>
    <row r="59" spans="1:6" x14ac:dyDescent="0.2">
      <c r="A59" s="17"/>
      <c r="B59" s="3">
        <v>4</v>
      </c>
      <c r="C59" s="3">
        <v>5</v>
      </c>
      <c r="D59" s="3">
        <v>4</v>
      </c>
      <c r="E59" s="3">
        <v>4</v>
      </c>
      <c r="F59" s="3">
        <v>5</v>
      </c>
    </row>
    <row r="60" spans="1:6" x14ac:dyDescent="0.2">
      <c r="A60" s="17"/>
      <c r="B60" s="3">
        <v>5</v>
      </c>
      <c r="C60" s="3">
        <v>5</v>
      </c>
      <c r="D60" s="3">
        <v>5</v>
      </c>
      <c r="E60" s="3">
        <v>5</v>
      </c>
      <c r="F60" s="3">
        <v>5</v>
      </c>
    </row>
  </sheetData>
  <mergeCells count="7">
    <mergeCell ref="A53:A60"/>
    <mergeCell ref="A11:A18"/>
    <mergeCell ref="A19:A27"/>
    <mergeCell ref="A28:A35"/>
    <mergeCell ref="A2:A10"/>
    <mergeCell ref="A36:A43"/>
    <mergeCell ref="A44:A5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6673-B924-FF44-8F8E-BB3A2445126F}">
  <dimension ref="A1:Q60"/>
  <sheetViews>
    <sheetView workbookViewId="0">
      <selection activeCell="G1" sqref="G1:K9"/>
    </sheetView>
  </sheetViews>
  <sheetFormatPr baseColWidth="10" defaultRowHeight="16" x14ac:dyDescent="0.2"/>
  <sheetData>
    <row r="1" spans="1:11" x14ac:dyDescent="0.2">
      <c r="A1" s="5"/>
      <c r="B1" t="s">
        <v>243</v>
      </c>
      <c r="C1" t="s">
        <v>244</v>
      </c>
      <c r="D1" t="s">
        <v>245</v>
      </c>
      <c r="E1" t="s">
        <v>246</v>
      </c>
      <c r="F1" t="s">
        <v>247</v>
      </c>
      <c r="G1" t="s">
        <v>284</v>
      </c>
      <c r="H1" t="s">
        <v>285</v>
      </c>
    </row>
    <row r="2" spans="1:11" x14ac:dyDescent="0.2">
      <c r="A2" s="17" t="s">
        <v>252</v>
      </c>
      <c r="B2" s="3">
        <v>3</v>
      </c>
      <c r="C2" s="3">
        <v>3</v>
      </c>
      <c r="D2" s="3">
        <v>3</v>
      </c>
      <c r="E2" s="3">
        <v>3</v>
      </c>
      <c r="F2" s="3">
        <v>3</v>
      </c>
      <c r="G2">
        <f t="shared" ref="G2:G9" si="0">$J$27+$J$28*B2+$J$29*C2+$J$30*D2+$J$31*E2</f>
        <v>3.1650184235439944</v>
      </c>
      <c r="H2">
        <f>(ABS(F2-G2))^2</f>
        <v>2.7231080108945135E-2</v>
      </c>
      <c r="J2" t="s">
        <v>283</v>
      </c>
      <c r="K2">
        <f>SQRT(AVERAGE(H2:H9))</f>
        <v>0.42878840128807377</v>
      </c>
    </row>
    <row r="3" spans="1:11" x14ac:dyDescent="0.2">
      <c r="A3" s="17"/>
      <c r="B3" s="3">
        <v>4</v>
      </c>
      <c r="C3" s="3">
        <v>4</v>
      </c>
      <c r="D3" s="3">
        <v>5</v>
      </c>
      <c r="E3" s="3">
        <v>4</v>
      </c>
      <c r="F3" s="3">
        <v>4</v>
      </c>
      <c r="G3">
        <f t="shared" si="0"/>
        <v>4.4152448867003127</v>
      </c>
      <c r="H3">
        <f t="shared" ref="H3:H9" si="1">(ABS(F3-G3))^2</f>
        <v>0.1724283159307555</v>
      </c>
    </row>
    <row r="4" spans="1:11" x14ac:dyDescent="0.2">
      <c r="A4" s="17"/>
      <c r="B4" s="3">
        <v>5</v>
      </c>
      <c r="C4" s="3">
        <v>5</v>
      </c>
      <c r="D4" s="3">
        <v>4</v>
      </c>
      <c r="E4" s="3">
        <v>4</v>
      </c>
      <c r="F4" s="3">
        <v>4</v>
      </c>
      <c r="G4">
        <f t="shared" si="0"/>
        <v>4.4514176934131573</v>
      </c>
      <c r="H4">
        <f t="shared" si="1"/>
        <v>0.20377793392645527</v>
      </c>
    </row>
    <row r="5" spans="1:11" x14ac:dyDescent="0.2">
      <c r="A5" s="17"/>
      <c r="B5" s="3">
        <v>4</v>
      </c>
      <c r="C5" s="3">
        <v>5</v>
      </c>
      <c r="D5" s="3">
        <v>4</v>
      </c>
      <c r="E5" s="3">
        <v>4</v>
      </c>
      <c r="F5" s="3">
        <v>4</v>
      </c>
      <c r="G5">
        <f t="shared" si="0"/>
        <v>4.3110820511772676</v>
      </c>
      <c r="H5">
        <f t="shared" si="1"/>
        <v>9.6772042564656144E-2</v>
      </c>
    </row>
    <row r="6" spans="1:11" x14ac:dyDescent="0.2">
      <c r="A6" s="17"/>
      <c r="B6" s="3">
        <v>4</v>
      </c>
      <c r="C6" s="3">
        <v>5</v>
      </c>
      <c r="D6" s="3">
        <v>5</v>
      </c>
      <c r="E6" s="3">
        <v>4</v>
      </c>
      <c r="F6" s="3">
        <v>5</v>
      </c>
      <c r="G6">
        <f t="shared" si="0"/>
        <v>4.6702492116357792</v>
      </c>
      <c r="H6">
        <f t="shared" si="1"/>
        <v>0.10873558242682513</v>
      </c>
    </row>
    <row r="7" spans="1:11" x14ac:dyDescent="0.2">
      <c r="A7" s="17"/>
      <c r="B7" s="3">
        <v>5</v>
      </c>
      <c r="C7" s="3">
        <v>5</v>
      </c>
      <c r="D7" s="3">
        <v>5</v>
      </c>
      <c r="E7" s="3">
        <v>4</v>
      </c>
      <c r="F7" s="3">
        <v>4</v>
      </c>
      <c r="G7">
        <f t="shared" si="0"/>
        <v>4.8105848538716689</v>
      </c>
      <c r="H7">
        <f t="shared" si="1"/>
        <v>0.65704780532615481</v>
      </c>
    </row>
    <row r="8" spans="1:11" x14ac:dyDescent="0.2">
      <c r="A8" s="17"/>
      <c r="B8" s="3">
        <v>3</v>
      </c>
      <c r="C8" s="3">
        <v>2</v>
      </c>
      <c r="D8" s="3">
        <v>2</v>
      </c>
      <c r="E8" s="3">
        <v>3</v>
      </c>
      <c r="F8" s="3">
        <v>3</v>
      </c>
      <c r="G8">
        <f t="shared" si="0"/>
        <v>2.5508469381500163</v>
      </c>
      <c r="H8">
        <f t="shared" si="1"/>
        <v>0.20173847296921529</v>
      </c>
    </row>
    <row r="9" spans="1:11" x14ac:dyDescent="0.2">
      <c r="A9" s="17"/>
      <c r="B9" s="3">
        <v>4</v>
      </c>
      <c r="C9" s="3">
        <v>4</v>
      </c>
      <c r="D9" s="3">
        <v>4</v>
      </c>
      <c r="E9" s="3">
        <v>4</v>
      </c>
      <c r="F9" s="3">
        <v>4</v>
      </c>
      <c r="G9">
        <f t="shared" si="0"/>
        <v>4.0560777262418011</v>
      </c>
      <c r="H9">
        <f t="shared" si="1"/>
        <v>3.1447113804503849E-3</v>
      </c>
    </row>
    <row r="10" spans="1:11" x14ac:dyDescent="0.2">
      <c r="A10" s="17" t="s">
        <v>248</v>
      </c>
      <c r="B10" s="3">
        <v>5</v>
      </c>
      <c r="C10" s="3">
        <v>5</v>
      </c>
      <c r="D10" s="3">
        <v>5</v>
      </c>
      <c r="E10" s="3">
        <v>5</v>
      </c>
      <c r="F10" s="3">
        <v>5</v>
      </c>
    </row>
    <row r="11" spans="1:11" x14ac:dyDescent="0.2">
      <c r="A11" s="17"/>
      <c r="B11" s="3">
        <v>5</v>
      </c>
      <c r="C11" s="3">
        <v>5</v>
      </c>
      <c r="D11" s="3">
        <v>5</v>
      </c>
      <c r="E11" s="3">
        <v>5</v>
      </c>
      <c r="F11" s="3">
        <v>5</v>
      </c>
      <c r="I11" t="s">
        <v>255</v>
      </c>
    </row>
    <row r="12" spans="1:11" ht="17" thickBot="1" x14ac:dyDescent="0.25">
      <c r="A12" s="17"/>
      <c r="B12" s="3">
        <v>5</v>
      </c>
      <c r="C12" s="3">
        <v>5</v>
      </c>
      <c r="D12" s="3">
        <v>5</v>
      </c>
      <c r="E12" s="3">
        <v>5</v>
      </c>
      <c r="F12" s="3">
        <v>5</v>
      </c>
    </row>
    <row r="13" spans="1:11" x14ac:dyDescent="0.2">
      <c r="A13" s="17"/>
      <c r="B13" s="3">
        <v>5</v>
      </c>
      <c r="C13" s="3">
        <v>5</v>
      </c>
      <c r="D13" s="3">
        <v>5</v>
      </c>
      <c r="E13" s="3">
        <v>5</v>
      </c>
      <c r="F13" s="3">
        <v>5</v>
      </c>
      <c r="I13" s="8" t="s">
        <v>256</v>
      </c>
      <c r="J13" s="8"/>
    </row>
    <row r="14" spans="1:11" x14ac:dyDescent="0.2">
      <c r="A14" s="17"/>
      <c r="B14" s="3">
        <v>5</v>
      </c>
      <c r="C14" s="3">
        <v>5</v>
      </c>
      <c r="D14" s="3">
        <v>4</v>
      </c>
      <c r="E14" s="3">
        <v>5</v>
      </c>
      <c r="F14" s="3">
        <v>4</v>
      </c>
      <c r="I14" t="s">
        <v>257</v>
      </c>
      <c r="J14">
        <v>0.87682997668310292</v>
      </c>
    </row>
    <row r="15" spans="1:11" x14ac:dyDescent="0.2">
      <c r="A15" s="17"/>
      <c r="B15" s="3">
        <v>5</v>
      </c>
      <c r="C15" s="3">
        <v>5</v>
      </c>
      <c r="D15" s="3">
        <v>5</v>
      </c>
      <c r="E15" s="3">
        <v>5</v>
      </c>
      <c r="F15" s="3">
        <v>5</v>
      </c>
      <c r="I15" t="s">
        <v>258</v>
      </c>
      <c r="J15">
        <v>0.76883080801009085</v>
      </c>
    </row>
    <row r="16" spans="1:11" x14ac:dyDescent="0.2">
      <c r="A16" s="17"/>
      <c r="B16" s="3">
        <v>5</v>
      </c>
      <c r="C16" s="3">
        <v>5</v>
      </c>
      <c r="D16" s="3">
        <v>5</v>
      </c>
      <c r="E16" s="3">
        <v>5</v>
      </c>
      <c r="F16" s="3">
        <v>5</v>
      </c>
      <c r="I16" t="s">
        <v>259</v>
      </c>
      <c r="J16">
        <v>0.74872913914140315</v>
      </c>
    </row>
    <row r="17" spans="1:17" x14ac:dyDescent="0.2">
      <c r="A17" s="17"/>
      <c r="B17" s="3">
        <v>4</v>
      </c>
      <c r="C17" s="3">
        <v>5</v>
      </c>
      <c r="D17" s="3">
        <v>4</v>
      </c>
      <c r="E17" s="3">
        <v>5</v>
      </c>
      <c r="F17" s="3">
        <v>5</v>
      </c>
      <c r="I17" t="s">
        <v>260</v>
      </c>
      <c r="J17">
        <v>0.28804279695834056</v>
      </c>
    </row>
    <row r="18" spans="1:17" ht="17" thickBot="1" x14ac:dyDescent="0.25">
      <c r="A18" s="17" t="s">
        <v>249</v>
      </c>
      <c r="B18" s="4">
        <v>4</v>
      </c>
      <c r="C18" s="4">
        <v>4</v>
      </c>
      <c r="D18" s="4">
        <v>3</v>
      </c>
      <c r="E18" s="4">
        <v>4</v>
      </c>
      <c r="F18" s="4">
        <v>4</v>
      </c>
      <c r="I18" s="6" t="s">
        <v>261</v>
      </c>
      <c r="J18" s="6">
        <v>51</v>
      </c>
    </row>
    <row r="19" spans="1:17" x14ac:dyDescent="0.2">
      <c r="A19" s="17"/>
      <c r="B19" s="4">
        <v>5</v>
      </c>
      <c r="C19" s="4">
        <v>5</v>
      </c>
      <c r="D19" s="4">
        <v>5</v>
      </c>
      <c r="E19" s="4">
        <v>5</v>
      </c>
      <c r="F19" s="4">
        <v>5</v>
      </c>
    </row>
    <row r="20" spans="1:17" ht="17" thickBot="1" x14ac:dyDescent="0.25">
      <c r="A20" s="17"/>
      <c r="B20" s="4">
        <v>5</v>
      </c>
      <c r="C20" s="4">
        <v>5</v>
      </c>
      <c r="D20" s="4">
        <v>4</v>
      </c>
      <c r="E20" s="4">
        <v>5</v>
      </c>
      <c r="F20" s="4">
        <v>4</v>
      </c>
      <c r="I20" t="s">
        <v>262</v>
      </c>
    </row>
    <row r="21" spans="1:17" x14ac:dyDescent="0.2">
      <c r="A21" s="17"/>
      <c r="B21" s="4">
        <v>5</v>
      </c>
      <c r="C21" s="4">
        <v>5</v>
      </c>
      <c r="D21" s="4">
        <v>5</v>
      </c>
      <c r="E21" s="4">
        <v>4</v>
      </c>
      <c r="F21" s="4">
        <v>5</v>
      </c>
      <c r="I21" s="7"/>
      <c r="J21" s="7" t="s">
        <v>267</v>
      </c>
      <c r="K21" s="7" t="s">
        <v>268</v>
      </c>
      <c r="L21" s="7" t="s">
        <v>269</v>
      </c>
      <c r="M21" s="7" t="s">
        <v>270</v>
      </c>
      <c r="N21" s="7" t="s">
        <v>271</v>
      </c>
    </row>
    <row r="22" spans="1:17" x14ac:dyDescent="0.2">
      <c r="A22" s="17"/>
      <c r="B22" s="4">
        <v>5</v>
      </c>
      <c r="C22" s="4">
        <v>5</v>
      </c>
      <c r="D22" s="4">
        <v>5</v>
      </c>
      <c r="E22" s="4">
        <v>5</v>
      </c>
      <c r="F22" s="4">
        <v>5</v>
      </c>
      <c r="I22" t="s">
        <v>263</v>
      </c>
      <c r="J22">
        <v>4</v>
      </c>
      <c r="K22">
        <v>12.693245889107779</v>
      </c>
      <c r="L22">
        <v>3.1733114722769447</v>
      </c>
      <c r="M22">
        <v>38.247113363194131</v>
      </c>
      <c r="N22">
        <v>4.3836725209481252E-14</v>
      </c>
    </row>
    <row r="23" spans="1:17" x14ac:dyDescent="0.2">
      <c r="A23" s="17"/>
      <c r="B23" s="4">
        <v>4</v>
      </c>
      <c r="C23" s="4">
        <v>2</v>
      </c>
      <c r="D23" s="4">
        <v>2</v>
      </c>
      <c r="E23" s="4">
        <v>4</v>
      </c>
      <c r="F23" s="4">
        <v>3</v>
      </c>
      <c r="I23" t="s">
        <v>264</v>
      </c>
      <c r="J23">
        <v>46</v>
      </c>
      <c r="K23">
        <v>3.8165580324608546</v>
      </c>
      <c r="L23">
        <v>8.2968652879583799E-2</v>
      </c>
    </row>
    <row r="24" spans="1:17" ht="17" thickBot="1" x14ac:dyDescent="0.25">
      <c r="A24" s="17"/>
      <c r="B24" s="4">
        <v>4</v>
      </c>
      <c r="C24" s="4">
        <v>4</v>
      </c>
      <c r="D24" s="4">
        <v>4</v>
      </c>
      <c r="E24" s="4">
        <v>3</v>
      </c>
      <c r="F24" s="4">
        <v>4</v>
      </c>
      <c r="I24" s="6" t="s">
        <v>265</v>
      </c>
      <c r="J24" s="6">
        <v>50</v>
      </c>
      <c r="K24" s="6">
        <v>16.509803921568633</v>
      </c>
      <c r="L24" s="6"/>
      <c r="M24" s="6"/>
      <c r="N24" s="6"/>
    </row>
    <row r="25" spans="1:17" ht="17" thickBot="1" x14ac:dyDescent="0.25">
      <c r="A25" s="17"/>
      <c r="B25" s="4">
        <v>5</v>
      </c>
      <c r="C25" s="4">
        <v>5</v>
      </c>
      <c r="D25" s="4">
        <v>5</v>
      </c>
      <c r="E25" s="4">
        <v>5</v>
      </c>
      <c r="F25" s="4">
        <v>5</v>
      </c>
    </row>
    <row r="26" spans="1:17" x14ac:dyDescent="0.2">
      <c r="A26" s="17"/>
      <c r="B26" s="4">
        <v>5</v>
      </c>
      <c r="C26" s="4">
        <v>5</v>
      </c>
      <c r="D26" s="4">
        <v>5</v>
      </c>
      <c r="E26" s="4">
        <v>5</v>
      </c>
      <c r="F26" s="4">
        <v>5</v>
      </c>
      <c r="I26" s="7"/>
      <c r="J26" s="7" t="s">
        <v>272</v>
      </c>
      <c r="K26" s="7" t="s">
        <v>260</v>
      </c>
      <c r="L26" s="7" t="s">
        <v>273</v>
      </c>
      <c r="M26" s="7" t="s">
        <v>274</v>
      </c>
      <c r="N26" s="7" t="s">
        <v>275</v>
      </c>
      <c r="O26" s="7" t="s">
        <v>276</v>
      </c>
      <c r="P26" s="7" t="s">
        <v>277</v>
      </c>
      <c r="Q26" s="7" t="s">
        <v>278</v>
      </c>
    </row>
    <row r="27" spans="1:17" x14ac:dyDescent="0.2">
      <c r="A27" s="17" t="s">
        <v>250</v>
      </c>
      <c r="B27" s="3">
        <v>5</v>
      </c>
      <c r="C27" s="3">
        <v>4</v>
      </c>
      <c r="D27" s="3">
        <v>4</v>
      </c>
      <c r="E27" s="3">
        <v>4</v>
      </c>
      <c r="F27" s="3">
        <v>4</v>
      </c>
      <c r="I27" t="s">
        <v>266</v>
      </c>
      <c r="J27">
        <v>0.49184051545057483</v>
      </c>
      <c r="K27">
        <v>0.41536318198773048</v>
      </c>
      <c r="L27">
        <v>1.1841215995526138</v>
      </c>
      <c r="M27">
        <v>0.24244760268449972</v>
      </c>
      <c r="N27">
        <v>-0.34424220552569806</v>
      </c>
      <c r="O27">
        <v>1.3279232364268478</v>
      </c>
      <c r="P27">
        <v>-0.34424220552569806</v>
      </c>
      <c r="Q27">
        <v>1.3279232364268478</v>
      </c>
    </row>
    <row r="28" spans="1:17" x14ac:dyDescent="0.2">
      <c r="A28" s="17"/>
      <c r="B28" s="3">
        <v>5</v>
      </c>
      <c r="C28" s="3">
        <v>5</v>
      </c>
      <c r="D28" s="3">
        <v>5</v>
      </c>
      <c r="E28" s="3">
        <v>5</v>
      </c>
      <c r="F28" s="3">
        <v>5</v>
      </c>
      <c r="I28" t="s">
        <v>279</v>
      </c>
      <c r="J28">
        <v>0.1403356422358896</v>
      </c>
      <c r="K28">
        <v>0.11768304806392967</v>
      </c>
      <c r="L28">
        <v>1.192488166686966</v>
      </c>
      <c r="M28">
        <v>0.23918512425586541</v>
      </c>
      <c r="N28">
        <v>-9.6548047279418167E-2</v>
      </c>
      <c r="O28">
        <v>0.37721933175119737</v>
      </c>
      <c r="P28">
        <v>-9.6548047279418167E-2</v>
      </c>
      <c r="Q28">
        <v>0.37721933175119737</v>
      </c>
    </row>
    <row r="29" spans="1:17" x14ac:dyDescent="0.2">
      <c r="A29" s="17"/>
      <c r="B29" s="3">
        <v>4</v>
      </c>
      <c r="C29" s="3">
        <v>3</v>
      </c>
      <c r="D29" s="3">
        <v>3</v>
      </c>
      <c r="E29" s="3">
        <v>3</v>
      </c>
      <c r="F29" s="3">
        <v>3</v>
      </c>
      <c r="I29" t="s">
        <v>280</v>
      </c>
      <c r="J29">
        <v>0.25500432493546649</v>
      </c>
      <c r="K29">
        <v>0.11587203145749612</v>
      </c>
      <c r="L29">
        <v>2.2007409529969837</v>
      </c>
      <c r="M29">
        <v>3.2812726749712529E-2</v>
      </c>
      <c r="N29">
        <v>2.17660227768188E-2</v>
      </c>
      <c r="O29">
        <v>0.4882426270941142</v>
      </c>
      <c r="P29">
        <v>2.17660227768188E-2</v>
      </c>
      <c r="Q29">
        <v>0.4882426270941142</v>
      </c>
    </row>
    <row r="30" spans="1:17" x14ac:dyDescent="0.2">
      <c r="A30" s="17"/>
      <c r="B30" s="3">
        <v>5</v>
      </c>
      <c r="C30" s="3">
        <v>5</v>
      </c>
      <c r="D30" s="3">
        <v>5</v>
      </c>
      <c r="E30" s="3">
        <v>5</v>
      </c>
      <c r="F30" s="3">
        <v>5</v>
      </c>
      <c r="I30" t="s">
        <v>281</v>
      </c>
      <c r="J30">
        <v>0.3591671604585116</v>
      </c>
      <c r="K30">
        <v>9.1827654252475341E-2</v>
      </c>
      <c r="L30">
        <v>3.9113180379300583</v>
      </c>
      <c r="M30">
        <v>3.0040981665345912E-4</v>
      </c>
      <c r="N30">
        <v>0.17432767935460891</v>
      </c>
      <c r="O30">
        <v>0.54400664156241429</v>
      </c>
      <c r="P30">
        <v>0.17432767935460891</v>
      </c>
      <c r="Q30">
        <v>0.54400664156241429</v>
      </c>
    </row>
    <row r="31" spans="1:17" ht="17" thickBot="1" x14ac:dyDescent="0.25">
      <c r="A31" s="17"/>
      <c r="B31" s="3">
        <v>4</v>
      </c>
      <c r="C31" s="3">
        <v>4</v>
      </c>
      <c r="D31" s="3">
        <v>4</v>
      </c>
      <c r="E31" s="3">
        <v>4</v>
      </c>
      <c r="F31" s="3">
        <v>4</v>
      </c>
      <c r="I31" s="6" t="s">
        <v>282</v>
      </c>
      <c r="J31" s="6">
        <v>0.13655217506793887</v>
      </c>
      <c r="K31" s="6">
        <v>0.10031538540610677</v>
      </c>
      <c r="L31" s="6">
        <v>1.361228634223302</v>
      </c>
      <c r="M31" s="6">
        <v>0.18007263449282099</v>
      </c>
      <c r="N31" s="6">
        <v>-6.537222271991984E-2</v>
      </c>
      <c r="O31" s="6">
        <v>0.33847657285579758</v>
      </c>
      <c r="P31" s="6">
        <v>-6.537222271991984E-2</v>
      </c>
      <c r="Q31" s="6">
        <v>0.33847657285579758</v>
      </c>
    </row>
    <row r="32" spans="1:17" x14ac:dyDescent="0.2">
      <c r="A32" s="17"/>
      <c r="B32" s="3">
        <v>4</v>
      </c>
      <c r="C32" s="3">
        <v>4</v>
      </c>
      <c r="D32" s="3">
        <v>4</v>
      </c>
      <c r="E32" s="3">
        <v>4</v>
      </c>
      <c r="F32" s="3">
        <v>4</v>
      </c>
    </row>
    <row r="33" spans="1:6" x14ac:dyDescent="0.2">
      <c r="A33" s="17"/>
      <c r="B33" s="3">
        <v>5</v>
      </c>
      <c r="C33" s="3">
        <v>5</v>
      </c>
      <c r="D33" s="3">
        <v>5</v>
      </c>
      <c r="E33" s="3">
        <v>5</v>
      </c>
      <c r="F33" s="3">
        <v>5</v>
      </c>
    </row>
    <row r="34" spans="1:6" x14ac:dyDescent="0.2">
      <c r="A34" s="17"/>
      <c r="B34" s="3">
        <v>5</v>
      </c>
      <c r="C34" s="3">
        <v>5</v>
      </c>
      <c r="D34" s="3">
        <v>5</v>
      </c>
      <c r="E34" s="3">
        <v>5</v>
      </c>
      <c r="F34" s="3">
        <v>5</v>
      </c>
    </row>
    <row r="35" spans="1:6" x14ac:dyDescent="0.2">
      <c r="A35" s="17" t="s">
        <v>251</v>
      </c>
      <c r="B35" s="4">
        <v>4</v>
      </c>
      <c r="C35" s="4">
        <v>4</v>
      </c>
      <c r="D35" s="4">
        <v>4</v>
      </c>
      <c r="E35" s="4">
        <v>4</v>
      </c>
      <c r="F35" s="4">
        <v>4</v>
      </c>
    </row>
    <row r="36" spans="1:6" x14ac:dyDescent="0.2">
      <c r="A36" s="17"/>
      <c r="B36" s="4">
        <v>5</v>
      </c>
      <c r="C36" s="4">
        <v>5</v>
      </c>
      <c r="D36" s="4">
        <v>4</v>
      </c>
      <c r="E36" s="4">
        <v>4</v>
      </c>
      <c r="F36" s="4">
        <v>5</v>
      </c>
    </row>
    <row r="37" spans="1:6" x14ac:dyDescent="0.2">
      <c r="A37" s="17"/>
      <c r="B37" s="4">
        <v>4</v>
      </c>
      <c r="C37" s="4">
        <v>4</v>
      </c>
      <c r="D37" s="4">
        <v>4</v>
      </c>
      <c r="E37" s="4">
        <v>4</v>
      </c>
      <c r="F37" s="4">
        <v>4</v>
      </c>
    </row>
    <row r="38" spans="1:6" x14ac:dyDescent="0.2">
      <c r="A38" s="17"/>
      <c r="B38" s="4">
        <v>4</v>
      </c>
      <c r="C38" s="4">
        <v>5</v>
      </c>
      <c r="D38" s="4">
        <v>5</v>
      </c>
      <c r="E38" s="4">
        <v>4</v>
      </c>
      <c r="F38" s="4">
        <v>4</v>
      </c>
    </row>
    <row r="39" spans="1:6" x14ac:dyDescent="0.2">
      <c r="A39" s="17"/>
      <c r="B39" s="4">
        <v>4</v>
      </c>
      <c r="C39" s="4">
        <v>4</v>
      </c>
      <c r="D39" s="4">
        <v>4</v>
      </c>
      <c r="E39" s="4">
        <v>4</v>
      </c>
      <c r="F39" s="4">
        <v>4</v>
      </c>
    </row>
    <row r="40" spans="1:6" x14ac:dyDescent="0.2">
      <c r="A40" s="17"/>
      <c r="B40" s="4">
        <v>5</v>
      </c>
      <c r="C40" s="4">
        <v>5</v>
      </c>
      <c r="D40" s="4">
        <v>5</v>
      </c>
      <c r="E40" s="4">
        <v>5</v>
      </c>
      <c r="F40" s="4">
        <v>5</v>
      </c>
    </row>
    <row r="41" spans="1:6" x14ac:dyDescent="0.2">
      <c r="A41" s="17"/>
      <c r="B41" s="4">
        <v>5</v>
      </c>
      <c r="C41" s="4">
        <v>5</v>
      </c>
      <c r="D41" s="4">
        <v>5</v>
      </c>
      <c r="E41" s="4">
        <v>5</v>
      </c>
      <c r="F41" s="4">
        <v>5</v>
      </c>
    </row>
    <row r="42" spans="1:6" x14ac:dyDescent="0.2">
      <c r="A42" s="17"/>
      <c r="B42" s="4">
        <v>5</v>
      </c>
      <c r="C42" s="4">
        <v>5</v>
      </c>
      <c r="D42" s="4">
        <v>5</v>
      </c>
      <c r="E42" s="4">
        <v>5</v>
      </c>
      <c r="F42" s="4">
        <v>5</v>
      </c>
    </row>
    <row r="43" spans="1:6" x14ac:dyDescent="0.2">
      <c r="A43" s="17"/>
      <c r="B43" s="4">
        <v>4</v>
      </c>
      <c r="C43" s="4">
        <v>4</v>
      </c>
      <c r="D43" s="4">
        <v>4</v>
      </c>
      <c r="E43" s="4">
        <v>3</v>
      </c>
      <c r="F43" s="4">
        <v>4</v>
      </c>
    </row>
    <row r="44" spans="1:6" x14ac:dyDescent="0.2">
      <c r="A44" s="17" t="s">
        <v>253</v>
      </c>
      <c r="B44" s="4">
        <v>5</v>
      </c>
      <c r="C44" s="4">
        <v>5</v>
      </c>
      <c r="D44" s="4">
        <v>5</v>
      </c>
      <c r="E44" s="4">
        <v>5</v>
      </c>
      <c r="F44" s="4">
        <v>5</v>
      </c>
    </row>
    <row r="45" spans="1:6" x14ac:dyDescent="0.2">
      <c r="A45" s="17"/>
      <c r="B45" s="4">
        <v>5</v>
      </c>
      <c r="C45" s="4">
        <v>5</v>
      </c>
      <c r="D45" s="4">
        <v>5</v>
      </c>
      <c r="E45" s="4">
        <v>5</v>
      </c>
      <c r="F45" s="4">
        <v>5</v>
      </c>
    </row>
    <row r="46" spans="1:6" x14ac:dyDescent="0.2">
      <c r="A46" s="17"/>
      <c r="B46" s="4">
        <v>4</v>
      </c>
      <c r="C46" s="4">
        <v>5</v>
      </c>
      <c r="D46" s="4">
        <v>5</v>
      </c>
      <c r="E46" s="4">
        <v>5</v>
      </c>
      <c r="F46" s="4">
        <v>5</v>
      </c>
    </row>
    <row r="47" spans="1:6" x14ac:dyDescent="0.2">
      <c r="A47" s="17"/>
      <c r="B47" s="4">
        <v>5</v>
      </c>
      <c r="C47" s="4">
        <v>5</v>
      </c>
      <c r="D47" s="4">
        <v>5</v>
      </c>
      <c r="E47" s="4">
        <v>5</v>
      </c>
      <c r="F47" s="4">
        <v>5</v>
      </c>
    </row>
    <row r="48" spans="1:6" x14ac:dyDescent="0.2">
      <c r="A48" s="17"/>
      <c r="B48" s="4">
        <v>5</v>
      </c>
      <c r="C48" s="4">
        <v>5</v>
      </c>
      <c r="D48" s="4">
        <v>3</v>
      </c>
      <c r="E48" s="4">
        <v>5</v>
      </c>
      <c r="F48" s="4">
        <v>4</v>
      </c>
    </row>
    <row r="49" spans="1:6" x14ac:dyDescent="0.2">
      <c r="A49" s="17"/>
      <c r="B49" s="4">
        <v>4</v>
      </c>
      <c r="C49" s="4">
        <v>5</v>
      </c>
      <c r="D49" s="4">
        <v>4</v>
      </c>
      <c r="E49" s="4">
        <v>4</v>
      </c>
      <c r="F49" s="4">
        <v>4</v>
      </c>
    </row>
    <row r="50" spans="1:6" x14ac:dyDescent="0.2">
      <c r="A50" s="17"/>
      <c r="B50" s="4">
        <v>4</v>
      </c>
      <c r="C50" s="4">
        <v>4</v>
      </c>
      <c r="D50" s="4">
        <v>3</v>
      </c>
      <c r="E50" s="4">
        <v>4</v>
      </c>
      <c r="F50" s="4">
        <v>4</v>
      </c>
    </row>
    <row r="51" spans="1:6" x14ac:dyDescent="0.2">
      <c r="A51" s="17"/>
      <c r="B51" s="4">
        <v>5</v>
      </c>
      <c r="C51" s="4">
        <v>5</v>
      </c>
      <c r="D51" s="4">
        <v>5</v>
      </c>
      <c r="E51" s="4">
        <v>5</v>
      </c>
      <c r="F51" s="4">
        <v>5</v>
      </c>
    </row>
    <row r="52" spans="1:6" x14ac:dyDescent="0.2">
      <c r="A52" s="17"/>
      <c r="B52" s="4">
        <v>5</v>
      </c>
      <c r="C52" s="4">
        <v>5</v>
      </c>
      <c r="D52" s="4">
        <v>5</v>
      </c>
      <c r="E52" s="4">
        <v>5</v>
      </c>
      <c r="F52" s="4">
        <v>5</v>
      </c>
    </row>
    <row r="53" spans="1:6" x14ac:dyDescent="0.2">
      <c r="A53" s="17" t="s">
        <v>254</v>
      </c>
      <c r="B53" s="3">
        <v>5</v>
      </c>
      <c r="C53" s="3">
        <v>5</v>
      </c>
      <c r="D53" s="3">
        <v>5</v>
      </c>
      <c r="E53" s="3">
        <v>5</v>
      </c>
      <c r="F53" s="3">
        <v>5</v>
      </c>
    </row>
    <row r="54" spans="1:6" x14ac:dyDescent="0.2">
      <c r="A54" s="17"/>
      <c r="B54" s="3">
        <v>5</v>
      </c>
      <c r="C54" s="3">
        <v>4</v>
      </c>
      <c r="D54" s="3">
        <v>4</v>
      </c>
      <c r="E54" s="3">
        <v>4</v>
      </c>
      <c r="F54" s="3">
        <v>4</v>
      </c>
    </row>
    <row r="55" spans="1:6" x14ac:dyDescent="0.2">
      <c r="A55" s="17"/>
      <c r="B55" s="3">
        <v>5</v>
      </c>
      <c r="C55" s="3">
        <v>5</v>
      </c>
      <c r="D55" s="3">
        <v>5</v>
      </c>
      <c r="E55" s="3">
        <v>5</v>
      </c>
      <c r="F55" s="3">
        <v>5</v>
      </c>
    </row>
    <row r="56" spans="1:6" x14ac:dyDescent="0.2">
      <c r="A56" s="17"/>
      <c r="B56" s="3">
        <v>4</v>
      </c>
      <c r="C56" s="3">
        <v>5</v>
      </c>
      <c r="D56" s="3">
        <v>5</v>
      </c>
      <c r="E56" s="3">
        <v>5</v>
      </c>
      <c r="F56" s="3">
        <v>4</v>
      </c>
    </row>
    <row r="57" spans="1:6" x14ac:dyDescent="0.2">
      <c r="A57" s="17"/>
      <c r="B57" s="3">
        <v>5</v>
      </c>
      <c r="C57" s="3">
        <v>5</v>
      </c>
      <c r="D57" s="3">
        <v>4</v>
      </c>
      <c r="E57" s="3">
        <v>4</v>
      </c>
      <c r="F57" s="3">
        <v>4</v>
      </c>
    </row>
    <row r="58" spans="1:6" x14ac:dyDescent="0.2">
      <c r="A58" s="17"/>
      <c r="B58" s="3">
        <v>5</v>
      </c>
      <c r="C58" s="3">
        <v>5</v>
      </c>
      <c r="D58" s="3">
        <v>5</v>
      </c>
      <c r="E58" s="3">
        <v>4</v>
      </c>
      <c r="F58" s="3">
        <v>5</v>
      </c>
    </row>
    <row r="59" spans="1:6" x14ac:dyDescent="0.2">
      <c r="A59" s="17"/>
      <c r="B59" s="3">
        <v>4</v>
      </c>
      <c r="C59" s="3">
        <v>5</v>
      </c>
      <c r="D59" s="3">
        <v>4</v>
      </c>
      <c r="E59" s="3">
        <v>4</v>
      </c>
      <c r="F59" s="3">
        <v>5</v>
      </c>
    </row>
    <row r="60" spans="1:6" x14ac:dyDescent="0.2">
      <c r="A60" s="17"/>
      <c r="B60" s="3">
        <v>5</v>
      </c>
      <c r="C60" s="3">
        <v>5</v>
      </c>
      <c r="D60" s="3">
        <v>5</v>
      </c>
      <c r="E60" s="3">
        <v>5</v>
      </c>
      <c r="F60" s="3">
        <v>5</v>
      </c>
    </row>
  </sheetData>
  <mergeCells count="7">
    <mergeCell ref="A2:A9"/>
    <mergeCell ref="A44:A52"/>
    <mergeCell ref="A53:A60"/>
    <mergeCell ref="A10:A17"/>
    <mergeCell ref="A18:A26"/>
    <mergeCell ref="A27:A34"/>
    <mergeCell ref="A35:A4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862CC-CC63-884B-9841-FDCCFAE52D3F}">
  <dimension ref="A1:Q60"/>
  <sheetViews>
    <sheetView workbookViewId="0">
      <selection activeCell="N36" sqref="N36"/>
    </sheetView>
  </sheetViews>
  <sheetFormatPr baseColWidth="10" defaultRowHeight="16" x14ac:dyDescent="0.2"/>
  <sheetData>
    <row r="1" spans="1:11" x14ac:dyDescent="0.2">
      <c r="A1" s="5"/>
      <c r="B1" t="s">
        <v>243</v>
      </c>
      <c r="C1" t="s">
        <v>244</v>
      </c>
      <c r="D1" t="s">
        <v>245</v>
      </c>
      <c r="E1" t="s">
        <v>246</v>
      </c>
      <c r="F1" t="s">
        <v>247</v>
      </c>
      <c r="G1" t="s">
        <v>284</v>
      </c>
      <c r="H1" t="s">
        <v>285</v>
      </c>
    </row>
    <row r="2" spans="1:11" x14ac:dyDescent="0.2">
      <c r="A2" s="17" t="s">
        <v>253</v>
      </c>
      <c r="B2" s="4">
        <v>5</v>
      </c>
      <c r="C2" s="4">
        <v>5</v>
      </c>
      <c r="D2" s="4">
        <v>5</v>
      </c>
      <c r="E2" s="4">
        <v>5</v>
      </c>
      <c r="F2" s="4">
        <v>5</v>
      </c>
      <c r="G2">
        <f t="shared" ref="G2:G10" si="0">$J$27+$J$28*B2+$J$29*C2+$J$30*D2+$J$31*E2</f>
        <v>4.9060458118851313</v>
      </c>
      <c r="H2">
        <f>(ABS(F2-G2))^2</f>
        <v>8.8273894643241275E-3</v>
      </c>
      <c r="J2" t="s">
        <v>283</v>
      </c>
      <c r="K2">
        <f>SQRT(AVERAGE(H2:H10))</f>
        <v>0.19517579997703743</v>
      </c>
    </row>
    <row r="3" spans="1:11" x14ac:dyDescent="0.2">
      <c r="A3" s="17"/>
      <c r="B3" s="4">
        <v>5</v>
      </c>
      <c r="C3" s="4">
        <v>5</v>
      </c>
      <c r="D3" s="4">
        <v>5</v>
      </c>
      <c r="E3" s="4">
        <v>5</v>
      </c>
      <c r="F3" s="4">
        <v>5</v>
      </c>
      <c r="G3">
        <f t="shared" si="0"/>
        <v>4.9060458118851313</v>
      </c>
      <c r="H3">
        <f t="shared" ref="H3:H10" si="1">(ABS(F3-G3))^2</f>
        <v>8.8273894643241275E-3</v>
      </c>
    </row>
    <row r="4" spans="1:11" x14ac:dyDescent="0.2">
      <c r="A4" s="17"/>
      <c r="B4" s="4">
        <v>4</v>
      </c>
      <c r="C4" s="4">
        <v>5</v>
      </c>
      <c r="D4" s="4">
        <v>5</v>
      </c>
      <c r="E4" s="4">
        <v>5</v>
      </c>
      <c r="F4" s="4">
        <v>5</v>
      </c>
      <c r="G4">
        <f t="shared" si="0"/>
        <v>4.8168114573961267</v>
      </c>
      <c r="H4">
        <f t="shared" si="1"/>
        <v>3.3558042141331103E-2</v>
      </c>
    </row>
    <row r="5" spans="1:11" x14ac:dyDescent="0.2">
      <c r="A5" s="17"/>
      <c r="B5" s="4">
        <v>5</v>
      </c>
      <c r="C5" s="4">
        <v>5</v>
      </c>
      <c r="D5" s="4">
        <v>5</v>
      </c>
      <c r="E5" s="4">
        <v>5</v>
      </c>
      <c r="F5" s="4">
        <v>5</v>
      </c>
      <c r="G5">
        <f t="shared" si="0"/>
        <v>4.9060458118851313</v>
      </c>
      <c r="H5">
        <f t="shared" si="1"/>
        <v>8.8273894643241275E-3</v>
      </c>
    </row>
    <row r="6" spans="1:11" x14ac:dyDescent="0.2">
      <c r="A6" s="17"/>
      <c r="B6" s="4">
        <v>5</v>
      </c>
      <c r="C6" s="4">
        <v>5</v>
      </c>
      <c r="D6" s="4">
        <v>3</v>
      </c>
      <c r="E6" s="4">
        <v>5</v>
      </c>
      <c r="F6" s="4">
        <v>4</v>
      </c>
      <c r="G6">
        <f t="shared" si="0"/>
        <v>4.3437145090635552</v>
      </c>
      <c r="H6">
        <f t="shared" si="1"/>
        <v>0.11813966374080075</v>
      </c>
    </row>
    <row r="7" spans="1:11" x14ac:dyDescent="0.2">
      <c r="A7" s="17"/>
      <c r="B7" s="4">
        <v>4</v>
      </c>
      <c r="C7" s="4">
        <v>5</v>
      </c>
      <c r="D7" s="4">
        <v>4</v>
      </c>
      <c r="E7" s="4">
        <v>4</v>
      </c>
      <c r="F7" s="4">
        <v>4</v>
      </c>
      <c r="G7">
        <f t="shared" si="0"/>
        <v>4.3018444224841073</v>
      </c>
      <c r="H7">
        <f t="shared" si="1"/>
        <v>9.111005538476423E-2</v>
      </c>
    </row>
    <row r="8" spans="1:11" x14ac:dyDescent="0.2">
      <c r="A8" s="17"/>
      <c r="B8" s="4">
        <v>4</v>
      </c>
      <c r="C8" s="4">
        <v>4</v>
      </c>
      <c r="D8" s="4">
        <v>3</v>
      </c>
      <c r="E8" s="4">
        <v>4</v>
      </c>
      <c r="F8" s="4">
        <v>4</v>
      </c>
      <c r="G8">
        <f t="shared" si="0"/>
        <v>3.763573209044381</v>
      </c>
      <c r="H8">
        <f t="shared" si="1"/>
        <v>5.5897627481571975E-2</v>
      </c>
    </row>
    <row r="9" spans="1:11" x14ac:dyDescent="0.2">
      <c r="A9" s="17"/>
      <c r="B9" s="4">
        <v>5</v>
      </c>
      <c r="C9" s="4">
        <v>5</v>
      </c>
      <c r="D9" s="4">
        <v>5</v>
      </c>
      <c r="E9" s="4">
        <v>5</v>
      </c>
      <c r="F9" s="4">
        <v>5</v>
      </c>
      <c r="G9">
        <f t="shared" si="0"/>
        <v>4.9060458118851313</v>
      </c>
      <c r="H9">
        <f t="shared" si="1"/>
        <v>8.8273894643241275E-3</v>
      </c>
    </row>
    <row r="10" spans="1:11" x14ac:dyDescent="0.2">
      <c r="A10" s="17"/>
      <c r="B10" s="4">
        <v>5</v>
      </c>
      <c r="C10" s="4">
        <v>5</v>
      </c>
      <c r="D10" s="4">
        <v>5</v>
      </c>
      <c r="E10" s="4">
        <v>5</v>
      </c>
      <c r="F10" s="4">
        <v>5</v>
      </c>
      <c r="G10">
        <f t="shared" si="0"/>
        <v>4.9060458118851313</v>
      </c>
      <c r="H10">
        <f t="shared" si="1"/>
        <v>8.8273894643241275E-3</v>
      </c>
    </row>
    <row r="11" spans="1:11" x14ac:dyDescent="0.2">
      <c r="A11" s="17" t="s">
        <v>248</v>
      </c>
      <c r="B11" s="3">
        <v>5</v>
      </c>
      <c r="C11" s="3">
        <v>5</v>
      </c>
      <c r="D11" s="3">
        <v>5</v>
      </c>
      <c r="E11" s="3">
        <v>5</v>
      </c>
      <c r="F11" s="3">
        <v>5</v>
      </c>
      <c r="I11" t="s">
        <v>255</v>
      </c>
    </row>
    <row r="12" spans="1:11" ht="17" thickBot="1" x14ac:dyDescent="0.25">
      <c r="A12" s="17"/>
      <c r="B12" s="3">
        <v>5</v>
      </c>
      <c r="C12" s="3">
        <v>5</v>
      </c>
      <c r="D12" s="3">
        <v>5</v>
      </c>
      <c r="E12" s="3">
        <v>5</v>
      </c>
      <c r="F12" s="3">
        <v>5</v>
      </c>
    </row>
    <row r="13" spans="1:11" x14ac:dyDescent="0.2">
      <c r="A13" s="17"/>
      <c r="B13" s="3">
        <v>5</v>
      </c>
      <c r="C13" s="3">
        <v>5</v>
      </c>
      <c r="D13" s="3">
        <v>5</v>
      </c>
      <c r="E13" s="3">
        <v>5</v>
      </c>
      <c r="F13" s="3">
        <v>5</v>
      </c>
      <c r="I13" s="8" t="s">
        <v>256</v>
      </c>
      <c r="J13" s="8"/>
    </row>
    <row r="14" spans="1:11" x14ac:dyDescent="0.2">
      <c r="A14" s="17"/>
      <c r="B14" s="3">
        <v>5</v>
      </c>
      <c r="C14" s="3">
        <v>5</v>
      </c>
      <c r="D14" s="3">
        <v>5</v>
      </c>
      <c r="E14" s="3">
        <v>5</v>
      </c>
      <c r="F14" s="3">
        <v>5</v>
      </c>
      <c r="I14" t="s">
        <v>257</v>
      </c>
      <c r="J14">
        <v>0.87415676106672324</v>
      </c>
    </row>
    <row r="15" spans="1:11" x14ac:dyDescent="0.2">
      <c r="A15" s="17"/>
      <c r="B15" s="3">
        <v>5</v>
      </c>
      <c r="C15" s="3">
        <v>5</v>
      </c>
      <c r="D15" s="3">
        <v>4</v>
      </c>
      <c r="E15" s="3">
        <v>5</v>
      </c>
      <c r="F15" s="3">
        <v>4</v>
      </c>
      <c r="I15" t="s">
        <v>258</v>
      </c>
      <c r="J15">
        <v>0.76415004291866417</v>
      </c>
    </row>
    <row r="16" spans="1:11" x14ac:dyDescent="0.2">
      <c r="A16" s="17"/>
      <c r="B16" s="3">
        <v>5</v>
      </c>
      <c r="C16" s="3">
        <v>5</v>
      </c>
      <c r="D16" s="3">
        <v>5</v>
      </c>
      <c r="E16" s="3">
        <v>5</v>
      </c>
      <c r="F16" s="3">
        <v>5</v>
      </c>
      <c r="I16" t="s">
        <v>259</v>
      </c>
      <c r="J16">
        <v>0.74318560228921215</v>
      </c>
    </row>
    <row r="17" spans="1:17" x14ac:dyDescent="0.2">
      <c r="A17" s="17"/>
      <c r="B17" s="3">
        <v>5</v>
      </c>
      <c r="C17" s="3">
        <v>5</v>
      </c>
      <c r="D17" s="3">
        <v>5</v>
      </c>
      <c r="E17" s="3">
        <v>5</v>
      </c>
      <c r="F17" s="3">
        <v>5</v>
      </c>
      <c r="I17" t="s">
        <v>260</v>
      </c>
      <c r="J17">
        <v>0.32634239442281548</v>
      </c>
    </row>
    <row r="18" spans="1:17" ht="17" thickBot="1" x14ac:dyDescent="0.25">
      <c r="A18" s="17"/>
      <c r="B18" s="3">
        <v>4</v>
      </c>
      <c r="C18" s="3">
        <v>5</v>
      </c>
      <c r="D18" s="3">
        <v>4</v>
      </c>
      <c r="E18" s="3">
        <v>5</v>
      </c>
      <c r="F18" s="3">
        <v>5</v>
      </c>
      <c r="I18" s="6" t="s">
        <v>261</v>
      </c>
      <c r="J18" s="6">
        <v>50</v>
      </c>
    </row>
    <row r="19" spans="1:17" x14ac:dyDescent="0.2">
      <c r="A19" s="17" t="s">
        <v>249</v>
      </c>
      <c r="B19" s="4">
        <v>4</v>
      </c>
      <c r="C19" s="4">
        <v>4</v>
      </c>
      <c r="D19" s="4">
        <v>3</v>
      </c>
      <c r="E19" s="4">
        <v>4</v>
      </c>
      <c r="F19" s="4">
        <v>4</v>
      </c>
    </row>
    <row r="20" spans="1:17" ht="17" thickBot="1" x14ac:dyDescent="0.25">
      <c r="A20" s="17"/>
      <c r="B20" s="4">
        <v>5</v>
      </c>
      <c r="C20" s="4">
        <v>5</v>
      </c>
      <c r="D20" s="4">
        <v>5</v>
      </c>
      <c r="E20" s="4">
        <v>5</v>
      </c>
      <c r="F20" s="4">
        <v>5</v>
      </c>
      <c r="I20" t="s">
        <v>262</v>
      </c>
    </row>
    <row r="21" spans="1:17" x14ac:dyDescent="0.2">
      <c r="A21" s="17"/>
      <c r="B21" s="4">
        <v>5</v>
      </c>
      <c r="C21" s="4">
        <v>5</v>
      </c>
      <c r="D21" s="4">
        <v>4</v>
      </c>
      <c r="E21" s="4">
        <v>5</v>
      </c>
      <c r="F21" s="4">
        <v>4</v>
      </c>
      <c r="I21" s="7"/>
      <c r="J21" s="7" t="s">
        <v>267</v>
      </c>
      <c r="K21" s="7" t="s">
        <v>268</v>
      </c>
      <c r="L21" s="7" t="s">
        <v>269</v>
      </c>
      <c r="M21" s="7" t="s">
        <v>270</v>
      </c>
      <c r="N21" s="7" t="s">
        <v>271</v>
      </c>
    </row>
    <row r="22" spans="1:17" x14ac:dyDescent="0.2">
      <c r="A22" s="17"/>
      <c r="B22" s="4">
        <v>5</v>
      </c>
      <c r="C22" s="4">
        <v>5</v>
      </c>
      <c r="D22" s="4">
        <v>5</v>
      </c>
      <c r="E22" s="4">
        <v>4</v>
      </c>
      <c r="F22" s="4">
        <v>5</v>
      </c>
      <c r="I22" t="s">
        <v>263</v>
      </c>
      <c r="J22">
        <v>4</v>
      </c>
      <c r="K22">
        <v>15.527528872107254</v>
      </c>
      <c r="L22">
        <v>3.8818822180268135</v>
      </c>
      <c r="M22">
        <v>36.449817880909343</v>
      </c>
      <c r="N22">
        <v>1.3938589537077605E-13</v>
      </c>
    </row>
    <row r="23" spans="1:17" x14ac:dyDescent="0.2">
      <c r="A23" s="17"/>
      <c r="B23" s="4">
        <v>5</v>
      </c>
      <c r="C23" s="4">
        <v>5</v>
      </c>
      <c r="D23" s="4">
        <v>5</v>
      </c>
      <c r="E23" s="4">
        <v>5</v>
      </c>
      <c r="F23" s="4">
        <v>5</v>
      </c>
      <c r="I23" t="s">
        <v>264</v>
      </c>
      <c r="J23">
        <v>45</v>
      </c>
      <c r="K23">
        <v>4.7924711278927417</v>
      </c>
      <c r="L23">
        <v>0.10649935839761648</v>
      </c>
    </row>
    <row r="24" spans="1:17" ht="17" thickBot="1" x14ac:dyDescent="0.25">
      <c r="A24" s="17"/>
      <c r="B24" s="4">
        <v>4</v>
      </c>
      <c r="C24" s="4">
        <v>2</v>
      </c>
      <c r="D24" s="4">
        <v>2</v>
      </c>
      <c r="E24" s="4">
        <v>4</v>
      </c>
      <c r="F24" s="4">
        <v>3</v>
      </c>
      <c r="I24" s="6" t="s">
        <v>265</v>
      </c>
      <c r="J24" s="6">
        <v>49</v>
      </c>
      <c r="K24" s="6">
        <v>20.319999999999997</v>
      </c>
      <c r="L24" s="6"/>
      <c r="M24" s="6"/>
      <c r="N24" s="6"/>
    </row>
    <row r="25" spans="1:17" ht="17" thickBot="1" x14ac:dyDescent="0.25">
      <c r="A25" s="17"/>
      <c r="B25" s="4">
        <v>4</v>
      </c>
      <c r="C25" s="4">
        <v>4</v>
      </c>
      <c r="D25" s="4">
        <v>4</v>
      </c>
      <c r="E25" s="4">
        <v>3</v>
      </c>
      <c r="F25" s="4">
        <v>4</v>
      </c>
    </row>
    <row r="26" spans="1:17" x14ac:dyDescent="0.2">
      <c r="A26" s="17"/>
      <c r="B26" s="4">
        <v>5</v>
      </c>
      <c r="C26" s="4">
        <v>5</v>
      </c>
      <c r="D26" s="4">
        <v>5</v>
      </c>
      <c r="E26" s="4">
        <v>5</v>
      </c>
      <c r="F26" s="4">
        <v>5</v>
      </c>
      <c r="I26" s="7"/>
      <c r="J26" s="7" t="s">
        <v>272</v>
      </c>
      <c r="K26" s="7" t="s">
        <v>260</v>
      </c>
      <c r="L26" s="7" t="s">
        <v>273</v>
      </c>
      <c r="M26" s="7" t="s">
        <v>274</v>
      </c>
      <c r="N26" s="7" t="s">
        <v>275</v>
      </c>
      <c r="O26" s="7" t="s">
        <v>276</v>
      </c>
      <c r="P26" s="7" t="s">
        <v>277</v>
      </c>
      <c r="Q26" s="7" t="s">
        <v>278</v>
      </c>
    </row>
    <row r="27" spans="1:17" x14ac:dyDescent="0.2">
      <c r="A27" s="17"/>
      <c r="B27" s="4">
        <v>5</v>
      </c>
      <c r="C27" s="4">
        <v>5</v>
      </c>
      <c r="D27" s="4">
        <v>5</v>
      </c>
      <c r="E27" s="4">
        <v>5</v>
      </c>
      <c r="F27" s="4">
        <v>5</v>
      </c>
      <c r="I27" t="s">
        <v>266</v>
      </c>
      <c r="J27">
        <v>0.59951105473532085</v>
      </c>
      <c r="K27">
        <v>0.37677962391231562</v>
      </c>
      <c r="L27">
        <v>1.5911451062832405</v>
      </c>
      <c r="M27">
        <v>0.11857841654032586</v>
      </c>
      <c r="N27">
        <v>-0.15936206264772457</v>
      </c>
      <c r="O27">
        <v>1.3583841721183663</v>
      </c>
      <c r="P27">
        <v>-0.15936206264772457</v>
      </c>
      <c r="Q27">
        <v>1.3583841721183663</v>
      </c>
    </row>
    <row r="28" spans="1:17" x14ac:dyDescent="0.2">
      <c r="A28" s="17" t="s">
        <v>250</v>
      </c>
      <c r="B28" s="3">
        <v>5</v>
      </c>
      <c r="C28" s="3">
        <v>4</v>
      </c>
      <c r="D28" s="3">
        <v>4</v>
      </c>
      <c r="E28" s="3">
        <v>4</v>
      </c>
      <c r="F28" s="3">
        <v>4</v>
      </c>
      <c r="I28" t="s">
        <v>279</v>
      </c>
      <c r="J28">
        <v>8.9234354489004422E-2</v>
      </c>
      <c r="K28">
        <v>0.127296809328836</v>
      </c>
      <c r="L28">
        <v>0.70099443151392915</v>
      </c>
      <c r="M28">
        <v>0.48691571366885011</v>
      </c>
      <c r="N28">
        <v>-0.16715458057392302</v>
      </c>
      <c r="O28">
        <v>0.34562328955193183</v>
      </c>
      <c r="P28">
        <v>-0.16715458057392302</v>
      </c>
      <c r="Q28">
        <v>0.34562328955193183</v>
      </c>
    </row>
    <row r="29" spans="1:17" x14ac:dyDescent="0.2">
      <c r="A29" s="17"/>
      <c r="B29" s="3">
        <v>5</v>
      </c>
      <c r="C29" s="3">
        <v>5</v>
      </c>
      <c r="D29" s="3">
        <v>5</v>
      </c>
      <c r="E29" s="3">
        <v>5</v>
      </c>
      <c r="F29" s="3">
        <v>5</v>
      </c>
      <c r="I29" t="s">
        <v>280</v>
      </c>
      <c r="J29">
        <v>0.25710556202893825</v>
      </c>
      <c r="K29">
        <v>0.12735232607530095</v>
      </c>
      <c r="L29">
        <v>2.0188525011857008</v>
      </c>
      <c r="M29">
        <v>4.9484728005490267E-2</v>
      </c>
      <c r="N29">
        <v>6.0481049881611635E-4</v>
      </c>
      <c r="O29">
        <v>0.51360631355906039</v>
      </c>
      <c r="P29">
        <v>6.0481049881611635E-4</v>
      </c>
      <c r="Q29">
        <v>0.51360631355906039</v>
      </c>
    </row>
    <row r="30" spans="1:17" x14ac:dyDescent="0.2">
      <c r="A30" s="17"/>
      <c r="B30" s="3">
        <v>4</v>
      </c>
      <c r="C30" s="3">
        <v>3</v>
      </c>
      <c r="D30" s="3">
        <v>3</v>
      </c>
      <c r="E30" s="3">
        <v>3</v>
      </c>
      <c r="F30" s="3">
        <v>3</v>
      </c>
      <c r="I30" t="s">
        <v>281</v>
      </c>
      <c r="J30">
        <v>0.28116565141078803</v>
      </c>
      <c r="K30">
        <v>0.11689235699465489</v>
      </c>
      <c r="L30">
        <v>2.4053381986612248</v>
      </c>
      <c r="M30">
        <v>2.0330557973462237E-2</v>
      </c>
      <c r="N30">
        <v>4.5732359053583992E-2</v>
      </c>
      <c r="O30">
        <v>0.51659894376799209</v>
      </c>
      <c r="P30">
        <v>4.5732359053583992E-2</v>
      </c>
      <c r="Q30">
        <v>0.51659894376799209</v>
      </c>
    </row>
    <row r="31" spans="1:17" ht="17" thickBot="1" x14ac:dyDescent="0.25">
      <c r="A31" s="17"/>
      <c r="B31" s="3">
        <v>5</v>
      </c>
      <c r="C31" s="3">
        <v>5</v>
      </c>
      <c r="D31" s="3">
        <v>5</v>
      </c>
      <c r="E31" s="3">
        <v>5</v>
      </c>
      <c r="F31" s="3">
        <v>5</v>
      </c>
      <c r="I31" s="6" t="s">
        <v>282</v>
      </c>
      <c r="J31" s="6">
        <v>0.23380138350123142</v>
      </c>
      <c r="K31" s="6">
        <v>0.10943664972798334</v>
      </c>
      <c r="L31" s="6">
        <v>2.1364084525830251</v>
      </c>
      <c r="M31" s="6">
        <v>3.8119597961171425E-2</v>
      </c>
      <c r="N31" s="6">
        <v>1.3384656416334096E-2</v>
      </c>
      <c r="O31" s="6">
        <v>0.45421811058612876</v>
      </c>
      <c r="P31" s="6">
        <v>1.3384656416334096E-2</v>
      </c>
      <c r="Q31" s="6">
        <v>0.45421811058612876</v>
      </c>
    </row>
    <row r="32" spans="1:17" x14ac:dyDescent="0.2">
      <c r="A32" s="17"/>
      <c r="B32" s="3">
        <v>4</v>
      </c>
      <c r="C32" s="3">
        <v>4</v>
      </c>
      <c r="D32" s="3">
        <v>4</v>
      </c>
      <c r="E32" s="3">
        <v>4</v>
      </c>
      <c r="F32" s="3">
        <v>4</v>
      </c>
    </row>
    <row r="33" spans="1:6" x14ac:dyDescent="0.2">
      <c r="A33" s="17"/>
      <c r="B33" s="3">
        <v>4</v>
      </c>
      <c r="C33" s="3">
        <v>4</v>
      </c>
      <c r="D33" s="3">
        <v>4</v>
      </c>
      <c r="E33" s="3">
        <v>4</v>
      </c>
      <c r="F33" s="3">
        <v>4</v>
      </c>
    </row>
    <row r="34" spans="1:6" x14ac:dyDescent="0.2">
      <c r="A34" s="17"/>
      <c r="B34" s="3">
        <v>5</v>
      </c>
      <c r="C34" s="3">
        <v>5</v>
      </c>
      <c r="D34" s="3">
        <v>5</v>
      </c>
      <c r="E34" s="3">
        <v>5</v>
      </c>
      <c r="F34" s="3">
        <v>5</v>
      </c>
    </row>
    <row r="35" spans="1:6" x14ac:dyDescent="0.2">
      <c r="A35" s="17"/>
      <c r="B35" s="3">
        <v>5</v>
      </c>
      <c r="C35" s="3">
        <v>5</v>
      </c>
      <c r="D35" s="3">
        <v>5</v>
      </c>
      <c r="E35" s="3">
        <v>5</v>
      </c>
      <c r="F35" s="3">
        <v>5</v>
      </c>
    </row>
    <row r="36" spans="1:6" x14ac:dyDescent="0.2">
      <c r="A36" s="17" t="s">
        <v>251</v>
      </c>
      <c r="B36" s="4">
        <v>4</v>
      </c>
      <c r="C36" s="4">
        <v>4</v>
      </c>
      <c r="D36" s="4">
        <v>4</v>
      </c>
      <c r="E36" s="4">
        <v>4</v>
      </c>
      <c r="F36" s="4">
        <v>4</v>
      </c>
    </row>
    <row r="37" spans="1:6" x14ac:dyDescent="0.2">
      <c r="A37" s="17"/>
      <c r="B37" s="4">
        <v>5</v>
      </c>
      <c r="C37" s="4">
        <v>5</v>
      </c>
      <c r="D37" s="4">
        <v>4</v>
      </c>
      <c r="E37" s="4">
        <v>4</v>
      </c>
      <c r="F37" s="4">
        <v>5</v>
      </c>
    </row>
    <row r="38" spans="1:6" x14ac:dyDescent="0.2">
      <c r="A38" s="17"/>
      <c r="B38" s="4">
        <v>4</v>
      </c>
      <c r="C38" s="4">
        <v>4</v>
      </c>
      <c r="D38" s="4">
        <v>4</v>
      </c>
      <c r="E38" s="4">
        <v>4</v>
      </c>
      <c r="F38" s="4">
        <v>4</v>
      </c>
    </row>
    <row r="39" spans="1:6" x14ac:dyDescent="0.2">
      <c r="A39" s="17"/>
      <c r="B39" s="4">
        <v>4</v>
      </c>
      <c r="C39" s="4">
        <v>5</v>
      </c>
      <c r="D39" s="4">
        <v>5</v>
      </c>
      <c r="E39" s="4">
        <v>4</v>
      </c>
      <c r="F39" s="4">
        <v>4</v>
      </c>
    </row>
    <row r="40" spans="1:6" x14ac:dyDescent="0.2">
      <c r="A40" s="17"/>
      <c r="B40" s="4">
        <v>4</v>
      </c>
      <c r="C40" s="4">
        <v>4</v>
      </c>
      <c r="D40" s="4">
        <v>4</v>
      </c>
      <c r="E40" s="4">
        <v>4</v>
      </c>
      <c r="F40" s="4">
        <v>4</v>
      </c>
    </row>
    <row r="41" spans="1:6" x14ac:dyDescent="0.2">
      <c r="A41" s="17"/>
      <c r="B41" s="4">
        <v>5</v>
      </c>
      <c r="C41" s="4">
        <v>5</v>
      </c>
      <c r="D41" s="4">
        <v>5</v>
      </c>
      <c r="E41" s="4">
        <v>5</v>
      </c>
      <c r="F41" s="4">
        <v>5</v>
      </c>
    </row>
    <row r="42" spans="1:6" x14ac:dyDescent="0.2">
      <c r="A42" s="17"/>
      <c r="B42" s="4">
        <v>5</v>
      </c>
      <c r="C42" s="4">
        <v>5</v>
      </c>
      <c r="D42" s="4">
        <v>5</v>
      </c>
      <c r="E42" s="4">
        <v>5</v>
      </c>
      <c r="F42" s="4">
        <v>5</v>
      </c>
    </row>
    <row r="43" spans="1:6" x14ac:dyDescent="0.2">
      <c r="A43" s="17"/>
      <c r="B43" s="4">
        <v>5</v>
      </c>
      <c r="C43" s="4">
        <v>5</v>
      </c>
      <c r="D43" s="4">
        <v>5</v>
      </c>
      <c r="E43" s="4">
        <v>5</v>
      </c>
      <c r="F43" s="4">
        <v>5</v>
      </c>
    </row>
    <row r="44" spans="1:6" x14ac:dyDescent="0.2">
      <c r="A44" s="17"/>
      <c r="B44" s="4">
        <v>4</v>
      </c>
      <c r="C44" s="4">
        <v>4</v>
      </c>
      <c r="D44" s="4">
        <v>4</v>
      </c>
      <c r="E44" s="4">
        <v>3</v>
      </c>
      <c r="F44" s="4">
        <v>4</v>
      </c>
    </row>
    <row r="45" spans="1:6" x14ac:dyDescent="0.2">
      <c r="A45" s="17" t="s">
        <v>252</v>
      </c>
      <c r="B45" s="3">
        <v>3</v>
      </c>
      <c r="C45" s="3">
        <v>3</v>
      </c>
      <c r="D45" s="3">
        <v>3</v>
      </c>
      <c r="E45" s="3">
        <v>3</v>
      </c>
      <c r="F45" s="3">
        <v>3</v>
      </c>
    </row>
    <row r="46" spans="1:6" x14ac:dyDescent="0.2">
      <c r="A46" s="17"/>
      <c r="B46" s="3">
        <v>4</v>
      </c>
      <c r="C46" s="3">
        <v>4</v>
      </c>
      <c r="D46" s="3">
        <v>5</v>
      </c>
      <c r="E46" s="3">
        <v>4</v>
      </c>
      <c r="F46" s="3">
        <v>4</v>
      </c>
    </row>
    <row r="47" spans="1:6" x14ac:dyDescent="0.2">
      <c r="A47" s="17"/>
      <c r="B47" s="3">
        <v>5</v>
      </c>
      <c r="C47" s="3">
        <v>5</v>
      </c>
      <c r="D47" s="3">
        <v>4</v>
      </c>
      <c r="E47" s="3">
        <v>4</v>
      </c>
      <c r="F47" s="3">
        <v>4</v>
      </c>
    </row>
    <row r="48" spans="1:6" x14ac:dyDescent="0.2">
      <c r="A48" s="17"/>
      <c r="B48" s="3">
        <v>4</v>
      </c>
      <c r="C48" s="3">
        <v>5</v>
      </c>
      <c r="D48" s="3">
        <v>4</v>
      </c>
      <c r="E48" s="3">
        <v>4</v>
      </c>
      <c r="F48" s="3">
        <v>4</v>
      </c>
    </row>
    <row r="49" spans="1:6" x14ac:dyDescent="0.2">
      <c r="A49" s="17"/>
      <c r="B49" s="3">
        <v>4</v>
      </c>
      <c r="C49" s="3">
        <v>5</v>
      </c>
      <c r="D49" s="3">
        <v>5</v>
      </c>
      <c r="E49" s="3">
        <v>4</v>
      </c>
      <c r="F49" s="3">
        <v>5</v>
      </c>
    </row>
    <row r="50" spans="1:6" x14ac:dyDescent="0.2">
      <c r="A50" s="17"/>
      <c r="B50" s="3">
        <v>5</v>
      </c>
      <c r="C50" s="3">
        <v>5</v>
      </c>
      <c r="D50" s="3">
        <v>5</v>
      </c>
      <c r="E50" s="3">
        <v>4</v>
      </c>
      <c r="F50" s="3">
        <v>4</v>
      </c>
    </row>
    <row r="51" spans="1:6" x14ac:dyDescent="0.2">
      <c r="A51" s="17"/>
      <c r="B51" s="3">
        <v>3</v>
      </c>
      <c r="C51" s="3">
        <v>2</v>
      </c>
      <c r="D51" s="3">
        <v>2</v>
      </c>
      <c r="E51" s="3">
        <v>3</v>
      </c>
      <c r="F51" s="3">
        <v>3</v>
      </c>
    </row>
    <row r="52" spans="1:6" x14ac:dyDescent="0.2">
      <c r="A52" s="17"/>
      <c r="B52" s="3">
        <v>4</v>
      </c>
      <c r="C52" s="3">
        <v>4</v>
      </c>
      <c r="D52" s="3">
        <v>4</v>
      </c>
      <c r="E52" s="3">
        <v>4</v>
      </c>
      <c r="F52" s="3">
        <v>4</v>
      </c>
    </row>
    <row r="53" spans="1:6" x14ac:dyDescent="0.2">
      <c r="A53" s="17" t="s">
        <v>254</v>
      </c>
      <c r="B53" s="3">
        <v>5</v>
      </c>
      <c r="C53" s="3">
        <v>5</v>
      </c>
      <c r="D53" s="3">
        <v>5</v>
      </c>
      <c r="E53" s="3">
        <v>5</v>
      </c>
      <c r="F53" s="3">
        <v>5</v>
      </c>
    </row>
    <row r="54" spans="1:6" x14ac:dyDescent="0.2">
      <c r="A54" s="17"/>
      <c r="B54" s="3">
        <v>5</v>
      </c>
      <c r="C54" s="3">
        <v>4</v>
      </c>
      <c r="D54" s="3">
        <v>4</v>
      </c>
      <c r="E54" s="3">
        <v>4</v>
      </c>
      <c r="F54" s="3">
        <v>4</v>
      </c>
    </row>
    <row r="55" spans="1:6" x14ac:dyDescent="0.2">
      <c r="A55" s="17"/>
      <c r="B55" s="3">
        <v>5</v>
      </c>
      <c r="C55" s="3">
        <v>5</v>
      </c>
      <c r="D55" s="3">
        <v>5</v>
      </c>
      <c r="E55" s="3">
        <v>5</v>
      </c>
      <c r="F55" s="3">
        <v>5</v>
      </c>
    </row>
    <row r="56" spans="1:6" x14ac:dyDescent="0.2">
      <c r="A56" s="17"/>
      <c r="B56" s="3">
        <v>4</v>
      </c>
      <c r="C56" s="3">
        <v>5</v>
      </c>
      <c r="D56" s="3">
        <v>5</v>
      </c>
      <c r="E56" s="3">
        <v>5</v>
      </c>
      <c r="F56" s="3">
        <v>4</v>
      </c>
    </row>
    <row r="57" spans="1:6" x14ac:dyDescent="0.2">
      <c r="A57" s="17"/>
      <c r="B57" s="3">
        <v>5</v>
      </c>
      <c r="C57" s="3">
        <v>5</v>
      </c>
      <c r="D57" s="3">
        <v>4</v>
      </c>
      <c r="E57" s="3">
        <v>4</v>
      </c>
      <c r="F57" s="3">
        <v>4</v>
      </c>
    </row>
    <row r="58" spans="1:6" x14ac:dyDescent="0.2">
      <c r="A58" s="17"/>
      <c r="B58" s="3">
        <v>5</v>
      </c>
      <c r="C58" s="3">
        <v>5</v>
      </c>
      <c r="D58" s="3">
        <v>5</v>
      </c>
      <c r="E58" s="3">
        <v>4</v>
      </c>
      <c r="F58" s="3">
        <v>5</v>
      </c>
    </row>
    <row r="59" spans="1:6" x14ac:dyDescent="0.2">
      <c r="A59" s="17"/>
      <c r="B59" s="3">
        <v>4</v>
      </c>
      <c r="C59" s="3">
        <v>5</v>
      </c>
      <c r="D59" s="3">
        <v>4</v>
      </c>
      <c r="E59" s="3">
        <v>4</v>
      </c>
      <c r="F59" s="3">
        <v>5</v>
      </c>
    </row>
    <row r="60" spans="1:6" x14ac:dyDescent="0.2">
      <c r="A60" s="17"/>
      <c r="B60" s="3">
        <v>5</v>
      </c>
      <c r="C60" s="3">
        <v>5</v>
      </c>
      <c r="D60" s="3">
        <v>5</v>
      </c>
      <c r="E60" s="3">
        <v>5</v>
      </c>
      <c r="F60" s="3">
        <v>5</v>
      </c>
    </row>
  </sheetData>
  <mergeCells count="7">
    <mergeCell ref="A2:A10"/>
    <mergeCell ref="A53:A60"/>
    <mergeCell ref="A11:A18"/>
    <mergeCell ref="A19:A27"/>
    <mergeCell ref="A28:A35"/>
    <mergeCell ref="A36:A44"/>
    <mergeCell ref="A45:A5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27A74-9C92-E34D-86A7-D339D8A9D430}">
  <dimension ref="A1:Q60"/>
  <sheetViews>
    <sheetView workbookViewId="0">
      <selection activeCell="G17" sqref="G17"/>
    </sheetView>
  </sheetViews>
  <sheetFormatPr baseColWidth="10" defaultRowHeight="16" x14ac:dyDescent="0.2"/>
  <sheetData>
    <row r="1" spans="1:11" x14ac:dyDescent="0.2">
      <c r="A1" s="5"/>
      <c r="B1" t="s">
        <v>243</v>
      </c>
      <c r="C1" t="s">
        <v>244</v>
      </c>
      <c r="D1" t="s">
        <v>245</v>
      </c>
      <c r="E1" t="s">
        <v>246</v>
      </c>
      <c r="F1" t="s">
        <v>247</v>
      </c>
      <c r="G1" t="s">
        <v>284</v>
      </c>
      <c r="H1" t="s">
        <v>285</v>
      </c>
    </row>
    <row r="2" spans="1:11" x14ac:dyDescent="0.2">
      <c r="A2" s="17" t="s">
        <v>254</v>
      </c>
      <c r="B2" s="3">
        <v>5</v>
      </c>
      <c r="C2" s="3">
        <v>5</v>
      </c>
      <c r="D2" s="3">
        <v>5</v>
      </c>
      <c r="E2" s="3">
        <v>5</v>
      </c>
      <c r="F2" s="3">
        <v>5</v>
      </c>
      <c r="G2">
        <f t="shared" ref="G2:G9" si="0">$J$27+$J$28*B2+$J$29*C2+$J$30*D2+$J$31*E2</f>
        <v>4.9441531589023615</v>
      </c>
      <c r="H2">
        <f>(ABS(F2-G2))^2</f>
        <v>3.1188696605848835E-3</v>
      </c>
      <c r="J2" t="s">
        <v>283</v>
      </c>
      <c r="K2">
        <f>SQRT(AVERAGE(H2:H9))</f>
        <v>0.46053794496774708</v>
      </c>
    </row>
    <row r="3" spans="1:11" x14ac:dyDescent="0.2">
      <c r="A3" s="17"/>
      <c r="B3" s="3">
        <v>5</v>
      </c>
      <c r="C3" s="3">
        <v>4</v>
      </c>
      <c r="D3" s="3">
        <v>4</v>
      </c>
      <c r="E3" s="3">
        <v>4</v>
      </c>
      <c r="F3" s="3">
        <v>4</v>
      </c>
      <c r="G3">
        <f t="shared" si="0"/>
        <v>4.0928653477983419</v>
      </c>
      <c r="H3">
        <f t="shared" ref="H3:H9" si="1">(ABS(F3-G3))^2</f>
        <v>8.6239728217070016E-3</v>
      </c>
    </row>
    <row r="4" spans="1:11" x14ac:dyDescent="0.2">
      <c r="A4" s="17"/>
      <c r="B4" s="3">
        <v>5</v>
      </c>
      <c r="C4" s="3">
        <v>5</v>
      </c>
      <c r="D4" s="3">
        <v>5</v>
      </c>
      <c r="E4" s="3">
        <v>5</v>
      </c>
      <c r="F4" s="3">
        <v>5</v>
      </c>
      <c r="G4">
        <f t="shared" si="0"/>
        <v>4.9441531589023615</v>
      </c>
      <c r="H4">
        <f t="shared" si="1"/>
        <v>3.1188696605848835E-3</v>
      </c>
    </row>
    <row r="5" spans="1:11" x14ac:dyDescent="0.2">
      <c r="A5" s="17"/>
      <c r="B5" s="3">
        <v>4</v>
      </c>
      <c r="C5" s="3">
        <v>5</v>
      </c>
      <c r="D5" s="3">
        <v>5</v>
      </c>
      <c r="E5" s="3">
        <v>5</v>
      </c>
      <c r="F5" s="3">
        <v>4</v>
      </c>
      <c r="G5">
        <f t="shared" si="0"/>
        <v>4.928291001914487</v>
      </c>
      <c r="H5">
        <f t="shared" si="1"/>
        <v>0.86172418423540209</v>
      </c>
    </row>
    <row r="6" spans="1:11" x14ac:dyDescent="0.2">
      <c r="A6" s="17"/>
      <c r="B6" s="3">
        <v>5</v>
      </c>
      <c r="C6" s="3">
        <v>5</v>
      </c>
      <c r="D6" s="3">
        <v>4</v>
      </c>
      <c r="E6" s="3">
        <v>4</v>
      </c>
      <c r="F6" s="3">
        <v>4</v>
      </c>
      <c r="G6">
        <f t="shared" si="0"/>
        <v>4.2371512444160828</v>
      </c>
      <c r="H6">
        <f t="shared" si="1"/>
        <v>5.6240712728096651E-2</v>
      </c>
    </row>
    <row r="7" spans="1:11" x14ac:dyDescent="0.2">
      <c r="A7" s="17"/>
      <c r="B7" s="3">
        <v>5</v>
      </c>
      <c r="C7" s="3">
        <v>5</v>
      </c>
      <c r="D7" s="3">
        <v>5</v>
      </c>
      <c r="E7" s="3">
        <v>4</v>
      </c>
      <c r="F7" s="3">
        <v>5</v>
      </c>
      <c r="G7">
        <f t="shared" si="0"/>
        <v>4.6070299936183794</v>
      </c>
      <c r="H7">
        <f t="shared" si="1"/>
        <v>0.15442542591557093</v>
      </c>
    </row>
    <row r="8" spans="1:11" x14ac:dyDescent="0.2">
      <c r="A8" s="17"/>
      <c r="B8" s="3">
        <v>4</v>
      </c>
      <c r="C8" s="3">
        <v>5</v>
      </c>
      <c r="D8" s="3">
        <v>4</v>
      </c>
      <c r="E8" s="3">
        <v>4</v>
      </c>
      <c r="F8" s="3">
        <v>5</v>
      </c>
      <c r="G8">
        <f t="shared" si="0"/>
        <v>4.2212890874282074</v>
      </c>
      <c r="H8">
        <f t="shared" si="1"/>
        <v>0.60639068535839402</v>
      </c>
    </row>
    <row r="9" spans="1:11" x14ac:dyDescent="0.2">
      <c r="A9" s="17"/>
      <c r="B9" s="3">
        <v>5</v>
      </c>
      <c r="C9" s="3">
        <v>5</v>
      </c>
      <c r="D9" s="3">
        <v>5</v>
      </c>
      <c r="E9" s="3">
        <v>5</v>
      </c>
      <c r="F9" s="3">
        <v>5</v>
      </c>
      <c r="G9">
        <f t="shared" si="0"/>
        <v>4.9441531589023615</v>
      </c>
      <c r="H9">
        <f t="shared" si="1"/>
        <v>3.1188696605848835E-3</v>
      </c>
    </row>
    <row r="10" spans="1:11" x14ac:dyDescent="0.2">
      <c r="A10" s="17" t="s">
        <v>248</v>
      </c>
      <c r="B10" s="3">
        <v>5</v>
      </c>
      <c r="C10" s="3">
        <v>5</v>
      </c>
      <c r="D10" s="3">
        <v>5</v>
      </c>
      <c r="E10" s="3">
        <v>5</v>
      </c>
      <c r="F10" s="3">
        <v>5</v>
      </c>
    </row>
    <row r="11" spans="1:11" x14ac:dyDescent="0.2">
      <c r="A11" s="17"/>
      <c r="B11" s="3">
        <v>5</v>
      </c>
      <c r="C11" s="3">
        <v>5</v>
      </c>
      <c r="D11" s="3">
        <v>5</v>
      </c>
      <c r="E11" s="3">
        <v>5</v>
      </c>
      <c r="F11" s="3">
        <v>5</v>
      </c>
      <c r="I11" t="s">
        <v>255</v>
      </c>
    </row>
    <row r="12" spans="1:11" ht="17" thickBot="1" x14ac:dyDescent="0.25">
      <c r="A12" s="17"/>
      <c r="B12" s="3">
        <v>5</v>
      </c>
      <c r="C12" s="3">
        <v>5</v>
      </c>
      <c r="D12" s="3">
        <v>5</v>
      </c>
      <c r="E12" s="3">
        <v>5</v>
      </c>
      <c r="F12" s="3">
        <v>5</v>
      </c>
    </row>
    <row r="13" spans="1:11" x14ac:dyDescent="0.2">
      <c r="A13" s="17"/>
      <c r="B13" s="3">
        <v>5</v>
      </c>
      <c r="C13" s="3">
        <v>5</v>
      </c>
      <c r="D13" s="3">
        <v>5</v>
      </c>
      <c r="E13" s="3">
        <v>5</v>
      </c>
      <c r="F13" s="3">
        <v>5</v>
      </c>
      <c r="I13" s="8" t="s">
        <v>256</v>
      </c>
      <c r="J13" s="8"/>
    </row>
    <row r="14" spans="1:11" x14ac:dyDescent="0.2">
      <c r="A14" s="17"/>
      <c r="B14" s="3">
        <v>5</v>
      </c>
      <c r="C14" s="3">
        <v>5</v>
      </c>
      <c r="D14" s="3">
        <v>4</v>
      </c>
      <c r="E14" s="3">
        <v>5</v>
      </c>
      <c r="F14" s="3">
        <v>4</v>
      </c>
      <c r="I14" t="s">
        <v>257</v>
      </c>
      <c r="J14">
        <v>0.91157951545818394</v>
      </c>
    </row>
    <row r="15" spans="1:11" x14ac:dyDescent="0.2">
      <c r="A15" s="17"/>
      <c r="B15" s="3">
        <v>5</v>
      </c>
      <c r="C15" s="3">
        <v>5</v>
      </c>
      <c r="D15" s="3">
        <v>5</v>
      </c>
      <c r="E15" s="3">
        <v>5</v>
      </c>
      <c r="F15" s="3">
        <v>5</v>
      </c>
      <c r="I15" t="s">
        <v>258</v>
      </c>
      <c r="J15">
        <v>0.83097721300297733</v>
      </c>
    </row>
    <row r="16" spans="1:11" x14ac:dyDescent="0.2">
      <c r="A16" s="17"/>
      <c r="B16" s="3">
        <v>5</v>
      </c>
      <c r="C16" s="3">
        <v>5</v>
      </c>
      <c r="D16" s="3">
        <v>5</v>
      </c>
      <c r="E16" s="3">
        <v>5</v>
      </c>
      <c r="F16" s="3">
        <v>5</v>
      </c>
      <c r="I16" t="s">
        <v>259</v>
      </c>
      <c r="J16">
        <v>0.81627957935106232</v>
      </c>
    </row>
    <row r="17" spans="1:17" x14ac:dyDescent="0.2">
      <c r="A17" s="17"/>
      <c r="B17" s="3">
        <v>4</v>
      </c>
      <c r="C17" s="3">
        <v>5</v>
      </c>
      <c r="D17" s="3">
        <v>4</v>
      </c>
      <c r="E17" s="3">
        <v>5</v>
      </c>
      <c r="F17" s="3">
        <v>5</v>
      </c>
      <c r="I17" t="s">
        <v>260</v>
      </c>
      <c r="J17">
        <v>0.27530651903044318</v>
      </c>
    </row>
    <row r="18" spans="1:17" ht="17" thickBot="1" x14ac:dyDescent="0.25">
      <c r="A18" s="17" t="s">
        <v>249</v>
      </c>
      <c r="B18" s="4">
        <v>4</v>
      </c>
      <c r="C18" s="4">
        <v>4</v>
      </c>
      <c r="D18" s="4">
        <v>3</v>
      </c>
      <c r="E18" s="4">
        <v>4</v>
      </c>
      <c r="F18" s="4">
        <v>4</v>
      </c>
      <c r="I18" s="6" t="s">
        <v>261</v>
      </c>
      <c r="J18" s="6">
        <v>51</v>
      </c>
    </row>
    <row r="19" spans="1:17" x14ac:dyDescent="0.2">
      <c r="A19" s="17"/>
      <c r="B19" s="4">
        <v>5</v>
      </c>
      <c r="C19" s="4">
        <v>5</v>
      </c>
      <c r="D19" s="4">
        <v>5</v>
      </c>
      <c r="E19" s="4">
        <v>5</v>
      </c>
      <c r="F19" s="4">
        <v>5</v>
      </c>
    </row>
    <row r="20" spans="1:17" ht="17" thickBot="1" x14ac:dyDescent="0.25">
      <c r="A20" s="17"/>
      <c r="B20" s="4">
        <v>5</v>
      </c>
      <c r="C20" s="4">
        <v>5</v>
      </c>
      <c r="D20" s="4">
        <v>4</v>
      </c>
      <c r="E20" s="4">
        <v>5</v>
      </c>
      <c r="F20" s="4">
        <v>4</v>
      </c>
      <c r="I20" t="s">
        <v>262</v>
      </c>
    </row>
    <row r="21" spans="1:17" x14ac:dyDescent="0.2">
      <c r="A21" s="17"/>
      <c r="B21" s="4">
        <v>5</v>
      </c>
      <c r="C21" s="4">
        <v>5</v>
      </c>
      <c r="D21" s="4">
        <v>5</v>
      </c>
      <c r="E21" s="4">
        <v>4</v>
      </c>
      <c r="F21" s="4">
        <v>5</v>
      </c>
      <c r="I21" s="7"/>
      <c r="J21" s="7" t="s">
        <v>267</v>
      </c>
      <c r="K21" s="7" t="s">
        <v>268</v>
      </c>
      <c r="L21" s="7" t="s">
        <v>269</v>
      </c>
      <c r="M21" s="7" t="s">
        <v>270</v>
      </c>
      <c r="N21" s="7" t="s">
        <v>271</v>
      </c>
    </row>
    <row r="22" spans="1:17" x14ac:dyDescent="0.2">
      <c r="A22" s="17"/>
      <c r="B22" s="4">
        <v>5</v>
      </c>
      <c r="C22" s="4">
        <v>5</v>
      </c>
      <c r="D22" s="4">
        <v>5</v>
      </c>
      <c r="E22" s="4">
        <v>5</v>
      </c>
      <c r="F22" s="4">
        <v>5</v>
      </c>
      <c r="I22" t="s">
        <v>263</v>
      </c>
      <c r="J22">
        <v>4</v>
      </c>
      <c r="K22">
        <v>17.140941727041799</v>
      </c>
      <c r="L22">
        <v>4.2852354317604497</v>
      </c>
      <c r="M22">
        <v>56.538163399841295</v>
      </c>
      <c r="N22">
        <v>3.5172762639883369E-17</v>
      </c>
    </row>
    <row r="23" spans="1:17" x14ac:dyDescent="0.2">
      <c r="A23" s="17"/>
      <c r="B23" s="4">
        <v>4</v>
      </c>
      <c r="C23" s="4">
        <v>2</v>
      </c>
      <c r="D23" s="4">
        <v>2</v>
      </c>
      <c r="E23" s="4">
        <v>4</v>
      </c>
      <c r="F23" s="4">
        <v>3</v>
      </c>
      <c r="I23" t="s">
        <v>264</v>
      </c>
      <c r="J23">
        <v>46</v>
      </c>
      <c r="K23">
        <v>3.486509253350349</v>
      </c>
      <c r="L23">
        <v>7.579367942065976E-2</v>
      </c>
    </row>
    <row r="24" spans="1:17" ht="17" thickBot="1" x14ac:dyDescent="0.25">
      <c r="A24" s="17"/>
      <c r="B24" s="4">
        <v>4</v>
      </c>
      <c r="C24" s="4">
        <v>4</v>
      </c>
      <c r="D24" s="4">
        <v>4</v>
      </c>
      <c r="E24" s="4">
        <v>3</v>
      </c>
      <c r="F24" s="4">
        <v>4</v>
      </c>
      <c r="I24" s="6" t="s">
        <v>265</v>
      </c>
      <c r="J24" s="6">
        <v>50</v>
      </c>
      <c r="K24" s="6">
        <v>20.627450980392148</v>
      </c>
      <c r="L24" s="6"/>
      <c r="M24" s="6"/>
      <c r="N24" s="6"/>
    </row>
    <row r="25" spans="1:17" ht="17" thickBot="1" x14ac:dyDescent="0.25">
      <c r="A25" s="17"/>
      <c r="B25" s="4">
        <v>5</v>
      </c>
      <c r="C25" s="4">
        <v>5</v>
      </c>
      <c r="D25" s="4">
        <v>5</v>
      </c>
      <c r="E25" s="4">
        <v>5</v>
      </c>
      <c r="F25" s="4">
        <v>5</v>
      </c>
    </row>
    <row r="26" spans="1:17" x14ac:dyDescent="0.2">
      <c r="A26" s="17"/>
      <c r="B26" s="4">
        <v>5</v>
      </c>
      <c r="C26" s="4">
        <v>5</v>
      </c>
      <c r="D26" s="4">
        <v>5</v>
      </c>
      <c r="E26" s="4">
        <v>5</v>
      </c>
      <c r="F26" s="4">
        <v>5</v>
      </c>
      <c r="I26" s="7"/>
      <c r="J26" s="7" t="s">
        <v>272</v>
      </c>
      <c r="K26" s="7" t="s">
        <v>260</v>
      </c>
      <c r="L26" s="7" t="s">
        <v>273</v>
      </c>
      <c r="M26" s="7" t="s">
        <v>274</v>
      </c>
      <c r="N26" s="7" t="s">
        <v>275</v>
      </c>
      <c r="O26" s="7" t="s">
        <v>276</v>
      </c>
      <c r="P26" s="7" t="s">
        <v>277</v>
      </c>
      <c r="Q26" s="7" t="s">
        <v>278</v>
      </c>
    </row>
    <row r="27" spans="1:17" x14ac:dyDescent="0.2">
      <c r="A27" s="17" t="s">
        <v>250</v>
      </c>
      <c r="B27" s="3">
        <v>5</v>
      </c>
      <c r="C27" s="3">
        <v>4</v>
      </c>
      <c r="D27" s="3">
        <v>4</v>
      </c>
      <c r="E27" s="3">
        <v>4</v>
      </c>
      <c r="F27" s="3">
        <v>4</v>
      </c>
      <c r="I27" t="s">
        <v>266</v>
      </c>
      <c r="J27">
        <v>0.60840331844288653</v>
      </c>
      <c r="K27">
        <v>0.31119424785349054</v>
      </c>
      <c r="L27">
        <v>1.9550596537032434</v>
      </c>
      <c r="M27">
        <v>5.666795302082641E-2</v>
      </c>
      <c r="N27">
        <v>-1.7998213470446823E-2</v>
      </c>
      <c r="O27">
        <v>1.2348048503562199</v>
      </c>
      <c r="P27">
        <v>-1.7998213470446823E-2</v>
      </c>
      <c r="Q27">
        <v>1.2348048503562199</v>
      </c>
    </row>
    <row r="28" spans="1:17" x14ac:dyDescent="0.2">
      <c r="A28" s="17"/>
      <c r="B28" s="3">
        <v>5</v>
      </c>
      <c r="C28" s="3">
        <v>5</v>
      </c>
      <c r="D28" s="3">
        <v>5</v>
      </c>
      <c r="E28" s="3">
        <v>5</v>
      </c>
      <c r="F28" s="3">
        <v>5</v>
      </c>
      <c r="I28" t="s">
        <v>279</v>
      </c>
      <c r="J28">
        <v>1.5862156987875117E-2</v>
      </c>
      <c r="K28">
        <v>0.11641325230678276</v>
      </c>
      <c r="L28">
        <v>0.13625731326596496</v>
      </c>
      <c r="M28">
        <v>0.89221244932638777</v>
      </c>
      <c r="N28">
        <v>-0.21846556623634508</v>
      </c>
      <c r="O28">
        <v>0.25018988021209532</v>
      </c>
      <c r="P28">
        <v>-0.21846556623634508</v>
      </c>
      <c r="Q28">
        <v>0.25018988021209532</v>
      </c>
    </row>
    <row r="29" spans="1:17" x14ac:dyDescent="0.2">
      <c r="A29" s="17"/>
      <c r="B29" s="3">
        <v>4</v>
      </c>
      <c r="C29" s="3">
        <v>3</v>
      </c>
      <c r="D29" s="3">
        <v>3</v>
      </c>
      <c r="E29" s="3">
        <v>3</v>
      </c>
      <c r="F29" s="3">
        <v>3</v>
      </c>
      <c r="I29" t="s">
        <v>280</v>
      </c>
      <c r="J29">
        <v>0.14428589661774074</v>
      </c>
      <c r="K29">
        <v>0.10301834302957553</v>
      </c>
      <c r="L29">
        <v>1.4005845209169954</v>
      </c>
      <c r="M29">
        <v>0.16804806406118925</v>
      </c>
      <c r="N29">
        <v>-6.3079272674463976E-2</v>
      </c>
      <c r="O29">
        <v>0.35165106590994549</v>
      </c>
      <c r="P29">
        <v>-6.3079272674463976E-2</v>
      </c>
      <c r="Q29">
        <v>0.35165106590994549</v>
      </c>
    </row>
    <row r="30" spans="1:17" x14ac:dyDescent="0.2">
      <c r="A30" s="17"/>
      <c r="B30" s="3">
        <v>5</v>
      </c>
      <c r="C30" s="3">
        <v>5</v>
      </c>
      <c r="D30" s="3">
        <v>5</v>
      </c>
      <c r="E30" s="3">
        <v>5</v>
      </c>
      <c r="F30" s="3">
        <v>5</v>
      </c>
      <c r="I30" t="s">
        <v>281</v>
      </c>
      <c r="J30">
        <v>0.36987874920229741</v>
      </c>
      <c r="K30">
        <v>8.1699902869840205E-2</v>
      </c>
      <c r="L30">
        <v>4.5272850543233556</v>
      </c>
      <c r="M30">
        <v>4.2114279372203835E-5</v>
      </c>
      <c r="N30">
        <v>0.20542537428345115</v>
      </c>
      <c r="O30">
        <v>0.53433212412114361</v>
      </c>
      <c r="P30">
        <v>0.20542537428345115</v>
      </c>
      <c r="Q30">
        <v>0.53433212412114361</v>
      </c>
    </row>
    <row r="31" spans="1:17" ht="17" thickBot="1" x14ac:dyDescent="0.25">
      <c r="A31" s="17"/>
      <c r="B31" s="3">
        <v>4</v>
      </c>
      <c r="C31" s="3">
        <v>4</v>
      </c>
      <c r="D31" s="3">
        <v>4</v>
      </c>
      <c r="E31" s="3">
        <v>4</v>
      </c>
      <c r="F31" s="3">
        <v>4</v>
      </c>
      <c r="I31" s="6" t="s">
        <v>282</v>
      </c>
      <c r="J31" s="6">
        <v>0.33712316528398178</v>
      </c>
      <c r="K31" s="6">
        <v>9.8518652026725051E-2</v>
      </c>
      <c r="L31" s="6">
        <v>3.4219222284175257</v>
      </c>
      <c r="M31" s="6">
        <v>1.3150269169159682E-3</v>
      </c>
      <c r="N31" s="6">
        <v>0.13881540420791216</v>
      </c>
      <c r="O31" s="6">
        <v>0.53543092636005141</v>
      </c>
      <c r="P31" s="6">
        <v>0.13881540420791216</v>
      </c>
      <c r="Q31" s="6">
        <v>0.53543092636005141</v>
      </c>
    </row>
    <row r="32" spans="1:17" x14ac:dyDescent="0.2">
      <c r="A32" s="17"/>
      <c r="B32" s="3">
        <v>4</v>
      </c>
      <c r="C32" s="3">
        <v>4</v>
      </c>
      <c r="D32" s="3">
        <v>4</v>
      </c>
      <c r="E32" s="3">
        <v>4</v>
      </c>
      <c r="F32" s="3">
        <v>4</v>
      </c>
    </row>
    <row r="33" spans="1:6" x14ac:dyDescent="0.2">
      <c r="A33" s="17"/>
      <c r="B33" s="3">
        <v>5</v>
      </c>
      <c r="C33" s="3">
        <v>5</v>
      </c>
      <c r="D33" s="3">
        <v>5</v>
      </c>
      <c r="E33" s="3">
        <v>5</v>
      </c>
      <c r="F33" s="3">
        <v>5</v>
      </c>
    </row>
    <row r="34" spans="1:6" x14ac:dyDescent="0.2">
      <c r="A34" s="17"/>
      <c r="B34" s="3">
        <v>5</v>
      </c>
      <c r="C34" s="3">
        <v>5</v>
      </c>
      <c r="D34" s="3">
        <v>5</v>
      </c>
      <c r="E34" s="3">
        <v>5</v>
      </c>
      <c r="F34" s="3">
        <v>5</v>
      </c>
    </row>
    <row r="35" spans="1:6" x14ac:dyDescent="0.2">
      <c r="A35" s="17" t="s">
        <v>251</v>
      </c>
      <c r="B35" s="4">
        <v>4</v>
      </c>
      <c r="C35" s="4">
        <v>4</v>
      </c>
      <c r="D35" s="4">
        <v>4</v>
      </c>
      <c r="E35" s="4">
        <v>4</v>
      </c>
      <c r="F35" s="4">
        <v>4</v>
      </c>
    </row>
    <row r="36" spans="1:6" x14ac:dyDescent="0.2">
      <c r="A36" s="17"/>
      <c r="B36" s="4">
        <v>5</v>
      </c>
      <c r="C36" s="4">
        <v>5</v>
      </c>
      <c r="D36" s="4">
        <v>4</v>
      </c>
      <c r="E36" s="4">
        <v>4</v>
      </c>
      <c r="F36" s="4">
        <v>5</v>
      </c>
    </row>
    <row r="37" spans="1:6" x14ac:dyDescent="0.2">
      <c r="A37" s="17"/>
      <c r="B37" s="4">
        <v>4</v>
      </c>
      <c r="C37" s="4">
        <v>4</v>
      </c>
      <c r="D37" s="4">
        <v>4</v>
      </c>
      <c r="E37" s="4">
        <v>4</v>
      </c>
      <c r="F37" s="4">
        <v>4</v>
      </c>
    </row>
    <row r="38" spans="1:6" x14ac:dyDescent="0.2">
      <c r="A38" s="17"/>
      <c r="B38" s="4">
        <v>4</v>
      </c>
      <c r="C38" s="4">
        <v>5</v>
      </c>
      <c r="D38" s="4">
        <v>5</v>
      </c>
      <c r="E38" s="4">
        <v>4</v>
      </c>
      <c r="F38" s="4">
        <v>4</v>
      </c>
    </row>
    <row r="39" spans="1:6" x14ac:dyDescent="0.2">
      <c r="A39" s="17"/>
      <c r="B39" s="4">
        <v>4</v>
      </c>
      <c r="C39" s="4">
        <v>4</v>
      </c>
      <c r="D39" s="4">
        <v>4</v>
      </c>
      <c r="E39" s="4">
        <v>4</v>
      </c>
      <c r="F39" s="4">
        <v>4</v>
      </c>
    </row>
    <row r="40" spans="1:6" x14ac:dyDescent="0.2">
      <c r="A40" s="17"/>
      <c r="B40" s="4">
        <v>5</v>
      </c>
      <c r="C40" s="4">
        <v>5</v>
      </c>
      <c r="D40" s="4">
        <v>5</v>
      </c>
      <c r="E40" s="4">
        <v>5</v>
      </c>
      <c r="F40" s="4">
        <v>5</v>
      </c>
    </row>
    <row r="41" spans="1:6" x14ac:dyDescent="0.2">
      <c r="A41" s="17"/>
      <c r="B41" s="4">
        <v>5</v>
      </c>
      <c r="C41" s="4">
        <v>5</v>
      </c>
      <c r="D41" s="4">
        <v>5</v>
      </c>
      <c r="E41" s="4">
        <v>5</v>
      </c>
      <c r="F41" s="4">
        <v>5</v>
      </c>
    </row>
    <row r="42" spans="1:6" x14ac:dyDescent="0.2">
      <c r="A42" s="17"/>
      <c r="B42" s="4">
        <v>5</v>
      </c>
      <c r="C42" s="4">
        <v>5</v>
      </c>
      <c r="D42" s="4">
        <v>5</v>
      </c>
      <c r="E42" s="4">
        <v>5</v>
      </c>
      <c r="F42" s="4">
        <v>5</v>
      </c>
    </row>
    <row r="43" spans="1:6" x14ac:dyDescent="0.2">
      <c r="A43" s="17"/>
      <c r="B43" s="4">
        <v>4</v>
      </c>
      <c r="C43" s="4">
        <v>4</v>
      </c>
      <c r="D43" s="4">
        <v>4</v>
      </c>
      <c r="E43" s="4">
        <v>3</v>
      </c>
      <c r="F43" s="4">
        <v>4</v>
      </c>
    </row>
    <row r="44" spans="1:6" x14ac:dyDescent="0.2">
      <c r="A44" s="17" t="s">
        <v>252</v>
      </c>
      <c r="B44" s="3">
        <v>3</v>
      </c>
      <c r="C44" s="3">
        <v>3</v>
      </c>
      <c r="D44" s="3">
        <v>3</v>
      </c>
      <c r="E44" s="3">
        <v>3</v>
      </c>
      <c r="F44" s="3">
        <v>3</v>
      </c>
    </row>
    <row r="45" spans="1:6" x14ac:dyDescent="0.2">
      <c r="A45" s="17"/>
      <c r="B45" s="3">
        <v>4</v>
      </c>
      <c r="C45" s="3">
        <v>4</v>
      </c>
      <c r="D45" s="3">
        <v>5</v>
      </c>
      <c r="E45" s="3">
        <v>4</v>
      </c>
      <c r="F45" s="3">
        <v>4</v>
      </c>
    </row>
    <row r="46" spans="1:6" x14ac:dyDescent="0.2">
      <c r="A46" s="17"/>
      <c r="B46" s="3">
        <v>5</v>
      </c>
      <c r="C46" s="3">
        <v>5</v>
      </c>
      <c r="D46" s="3">
        <v>4</v>
      </c>
      <c r="E46" s="3">
        <v>4</v>
      </c>
      <c r="F46" s="3">
        <v>4</v>
      </c>
    </row>
    <row r="47" spans="1:6" x14ac:dyDescent="0.2">
      <c r="A47" s="17"/>
      <c r="B47" s="3">
        <v>4</v>
      </c>
      <c r="C47" s="3">
        <v>5</v>
      </c>
      <c r="D47" s="3">
        <v>4</v>
      </c>
      <c r="E47" s="3">
        <v>4</v>
      </c>
      <c r="F47" s="3">
        <v>4</v>
      </c>
    </row>
    <row r="48" spans="1:6" x14ac:dyDescent="0.2">
      <c r="A48" s="17"/>
      <c r="B48" s="3">
        <v>4</v>
      </c>
      <c r="C48" s="3">
        <v>5</v>
      </c>
      <c r="D48" s="3">
        <v>5</v>
      </c>
      <c r="E48" s="3">
        <v>4</v>
      </c>
      <c r="F48" s="3">
        <v>5</v>
      </c>
    </row>
    <row r="49" spans="1:6" x14ac:dyDescent="0.2">
      <c r="A49" s="17"/>
      <c r="B49" s="3">
        <v>5</v>
      </c>
      <c r="C49" s="3">
        <v>5</v>
      </c>
      <c r="D49" s="3">
        <v>5</v>
      </c>
      <c r="E49" s="3">
        <v>4</v>
      </c>
      <c r="F49" s="3">
        <v>4</v>
      </c>
    </row>
    <row r="50" spans="1:6" x14ac:dyDescent="0.2">
      <c r="A50" s="17"/>
      <c r="B50" s="3">
        <v>3</v>
      </c>
      <c r="C50" s="3">
        <v>2</v>
      </c>
      <c r="D50" s="3">
        <v>2</v>
      </c>
      <c r="E50" s="3">
        <v>3</v>
      </c>
      <c r="F50" s="3">
        <v>3</v>
      </c>
    </row>
    <row r="51" spans="1:6" x14ac:dyDescent="0.2">
      <c r="A51" s="17"/>
      <c r="B51" s="3">
        <v>4</v>
      </c>
      <c r="C51" s="3">
        <v>4</v>
      </c>
      <c r="D51" s="3">
        <v>4</v>
      </c>
      <c r="E51" s="3">
        <v>4</v>
      </c>
      <c r="F51" s="3">
        <v>4</v>
      </c>
    </row>
    <row r="52" spans="1:6" x14ac:dyDescent="0.2">
      <c r="A52" s="17" t="s">
        <v>253</v>
      </c>
      <c r="B52" s="4">
        <v>5</v>
      </c>
      <c r="C52" s="4">
        <v>5</v>
      </c>
      <c r="D52" s="4">
        <v>5</v>
      </c>
      <c r="E52" s="4">
        <v>5</v>
      </c>
      <c r="F52" s="4">
        <v>5</v>
      </c>
    </row>
    <row r="53" spans="1:6" x14ac:dyDescent="0.2">
      <c r="A53" s="17"/>
      <c r="B53" s="4">
        <v>5</v>
      </c>
      <c r="C53" s="4">
        <v>5</v>
      </c>
      <c r="D53" s="4">
        <v>5</v>
      </c>
      <c r="E53" s="4">
        <v>5</v>
      </c>
      <c r="F53" s="4">
        <v>5</v>
      </c>
    </row>
    <row r="54" spans="1:6" x14ac:dyDescent="0.2">
      <c r="A54" s="17"/>
      <c r="B54" s="4">
        <v>4</v>
      </c>
      <c r="C54" s="4">
        <v>5</v>
      </c>
      <c r="D54" s="4">
        <v>5</v>
      </c>
      <c r="E54" s="4">
        <v>5</v>
      </c>
      <c r="F54" s="4">
        <v>5</v>
      </c>
    </row>
    <row r="55" spans="1:6" x14ac:dyDescent="0.2">
      <c r="A55" s="17"/>
      <c r="B55" s="4">
        <v>5</v>
      </c>
      <c r="C55" s="4">
        <v>5</v>
      </c>
      <c r="D55" s="4">
        <v>5</v>
      </c>
      <c r="E55" s="4">
        <v>5</v>
      </c>
      <c r="F55" s="4">
        <v>5</v>
      </c>
    </row>
    <row r="56" spans="1:6" x14ac:dyDescent="0.2">
      <c r="A56" s="17"/>
      <c r="B56" s="4">
        <v>5</v>
      </c>
      <c r="C56" s="4">
        <v>5</v>
      </c>
      <c r="D56" s="4">
        <v>3</v>
      </c>
      <c r="E56" s="4">
        <v>5</v>
      </c>
      <c r="F56" s="4">
        <v>4</v>
      </c>
    </row>
    <row r="57" spans="1:6" x14ac:dyDescent="0.2">
      <c r="A57" s="17"/>
      <c r="B57" s="4">
        <v>4</v>
      </c>
      <c r="C57" s="4">
        <v>5</v>
      </c>
      <c r="D57" s="4">
        <v>4</v>
      </c>
      <c r="E57" s="4">
        <v>4</v>
      </c>
      <c r="F57" s="4">
        <v>4</v>
      </c>
    </row>
    <row r="58" spans="1:6" x14ac:dyDescent="0.2">
      <c r="A58" s="17"/>
      <c r="B58" s="4">
        <v>4</v>
      </c>
      <c r="C58" s="4">
        <v>4</v>
      </c>
      <c r="D58" s="4">
        <v>3</v>
      </c>
      <c r="E58" s="4">
        <v>4</v>
      </c>
      <c r="F58" s="4">
        <v>4</v>
      </c>
    </row>
    <row r="59" spans="1:6" x14ac:dyDescent="0.2">
      <c r="A59" s="17"/>
      <c r="B59" s="4">
        <v>5</v>
      </c>
      <c r="C59" s="4">
        <v>5</v>
      </c>
      <c r="D59" s="4">
        <v>5</v>
      </c>
      <c r="E59" s="4">
        <v>5</v>
      </c>
      <c r="F59" s="4">
        <v>5</v>
      </c>
    </row>
    <row r="60" spans="1:6" x14ac:dyDescent="0.2">
      <c r="A60" s="17"/>
      <c r="B60" s="4">
        <v>5</v>
      </c>
      <c r="C60" s="4">
        <v>5</v>
      </c>
      <c r="D60" s="4">
        <v>5</v>
      </c>
      <c r="E60" s="4">
        <v>5</v>
      </c>
      <c r="F60" s="4">
        <v>5</v>
      </c>
    </row>
  </sheetData>
  <mergeCells count="7">
    <mergeCell ref="A44:A51"/>
    <mergeCell ref="A52:A60"/>
    <mergeCell ref="A2:A9"/>
    <mergeCell ref="A10:A17"/>
    <mergeCell ref="A18:A26"/>
    <mergeCell ref="A27:A34"/>
    <mergeCell ref="A35:A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Chong_Cheong_Foundry_Works_Cust</vt:lpstr>
      <vt:lpstr>NPS</vt:lpstr>
      <vt:lpstr>score only</vt:lpstr>
      <vt:lpstr>fold 1 (0.295204777)</vt:lpstr>
      <vt:lpstr>fold 2 (0.285227579)</vt:lpstr>
      <vt:lpstr>fold 3 (0.158135953)</vt:lpstr>
      <vt:lpstr>fold 4 (0.353160791)</vt:lpstr>
      <vt:lpstr>fold 5 (0.428788401)</vt:lpstr>
      <vt:lpstr>fold 6 (0.1951758)</vt:lpstr>
      <vt:lpstr>fold 7 (0.460537945)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Marianne Lim</dc:creator>
  <cp:lastModifiedBy>Marianne Lim</cp:lastModifiedBy>
  <dcterms:created xsi:type="dcterms:W3CDTF">2025-11-11T01:56:03Z</dcterms:created>
  <dcterms:modified xsi:type="dcterms:W3CDTF">2025-11-14T03:02:27Z</dcterms:modified>
</cp:coreProperties>
</file>